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sleclerc/Desktop/"/>
    </mc:Choice>
  </mc:AlternateContent>
  <xr:revisionPtr revIDLastSave="0" documentId="13_ncr:1_{B647DFD8-E5A2-1845-8CB8-954C8C3D1542}" xr6:coauthVersionLast="47" xr6:coauthVersionMax="47" xr10:uidLastSave="{00000000-0000-0000-0000-000000000000}"/>
  <bookViews>
    <workbookView xWindow="0" yWindow="600" windowWidth="51200" windowHeight="26860" activeTab="5" xr2:uid="{00000000-000D-0000-FFFF-FFFF00000000}"/>
  </bookViews>
  <sheets>
    <sheet name="Config" sheetId="1" r:id="rId1"/>
    <sheet name="Selection" sheetId="2" r:id="rId2"/>
    <sheet name="Calculations" sheetId="3" r:id="rId3"/>
    <sheet name="MOSFET" sheetId="4" r:id="rId4"/>
    <sheet name="Notes" sheetId="5" r:id="rId5"/>
    <sheet name="Summ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25" i="6" l="1"/>
  <c r="C23" i="6"/>
  <c r="B23" i="6"/>
  <c r="A23" i="6"/>
  <c r="C22" i="6"/>
  <c r="B22" i="6"/>
  <c r="A22" i="6"/>
  <c r="C21" i="6"/>
  <c r="B21" i="6"/>
  <c r="A21" i="6"/>
  <c r="C20" i="6"/>
  <c r="B20" i="6"/>
  <c r="A20" i="6"/>
  <c r="C19" i="6"/>
  <c r="B19" i="6"/>
  <c r="A19" i="6"/>
  <c r="C18" i="6"/>
  <c r="B18" i="6"/>
  <c r="A18" i="6"/>
  <c r="C17" i="6"/>
  <c r="B17" i="6"/>
  <c r="A17" i="6"/>
  <c r="C16" i="6"/>
  <c r="B16" i="6"/>
  <c r="A16" i="6"/>
  <c r="C15" i="6"/>
  <c r="B15" i="6"/>
  <c r="A15" i="6"/>
  <c r="C14" i="6"/>
  <c r="B14" i="6"/>
  <c r="A14" i="6"/>
  <c r="C13" i="6"/>
  <c r="B13" i="6"/>
  <c r="A13" i="6"/>
  <c r="C12" i="6"/>
  <c r="B12" i="6"/>
  <c r="A12" i="6"/>
  <c r="C11" i="6"/>
  <c r="B11" i="6"/>
  <c r="A11" i="6"/>
  <c r="C10" i="6"/>
  <c r="B10" i="6"/>
  <c r="A10" i="6"/>
  <c r="C9" i="6"/>
  <c r="B9" i="6"/>
  <c r="A9" i="6"/>
  <c r="C8" i="6"/>
  <c r="B8" i="6"/>
  <c r="A8" i="6"/>
  <c r="C7" i="6"/>
  <c r="B7" i="6"/>
  <c r="A7" i="6"/>
  <c r="C6" i="6"/>
  <c r="B6" i="6"/>
  <c r="A6" i="6"/>
  <c r="L5" i="6"/>
  <c r="K5" i="6"/>
  <c r="J5" i="6"/>
  <c r="I5" i="6"/>
  <c r="H5" i="6"/>
  <c r="G5" i="6"/>
  <c r="F5" i="6"/>
  <c r="E5" i="6"/>
  <c r="D5" i="6"/>
  <c r="A5" i="6"/>
  <c r="A3" i="6"/>
  <c r="L2" i="6"/>
  <c r="K2" i="6"/>
  <c r="J2" i="6"/>
  <c r="H2" i="6"/>
  <c r="E2" i="6"/>
  <c r="A2" i="6"/>
  <c r="A1" i="6"/>
  <c r="B45" i="5"/>
  <c r="D44" i="5"/>
  <c r="C44" i="5"/>
  <c r="B44" i="5"/>
  <c r="D40" i="5"/>
  <c r="C40" i="5"/>
  <c r="B40" i="5"/>
  <c r="B35" i="5"/>
  <c r="A35" i="5"/>
  <c r="B34" i="5"/>
  <c r="A34" i="5"/>
  <c r="B33" i="5"/>
  <c r="A33" i="5"/>
  <c r="D31" i="5"/>
  <c r="C31" i="5"/>
  <c r="D30" i="5"/>
  <c r="C30" i="5"/>
  <c r="C29" i="5"/>
  <c r="D28" i="5"/>
  <c r="C28" i="5"/>
  <c r="D27" i="5"/>
  <c r="C27" i="5"/>
  <c r="D26" i="5"/>
  <c r="C26" i="5"/>
  <c r="A25" i="5"/>
  <c r="D23" i="5"/>
  <c r="C23" i="5"/>
  <c r="B23" i="5"/>
  <c r="A22" i="5"/>
  <c r="D20" i="5"/>
  <c r="C20" i="5"/>
  <c r="A20" i="5"/>
  <c r="D19" i="5"/>
  <c r="D18" i="5"/>
  <c r="D17" i="5"/>
  <c r="C17" i="5"/>
  <c r="B17" i="5"/>
  <c r="A17" i="5"/>
  <c r="D15" i="5"/>
  <c r="C15" i="5"/>
  <c r="B15" i="5"/>
  <c r="D14" i="5"/>
  <c r="C14" i="5"/>
  <c r="B14" i="5"/>
  <c r="D13" i="5"/>
  <c r="C13" i="5"/>
  <c r="D12" i="5"/>
  <c r="C12" i="5"/>
  <c r="B12" i="5"/>
  <c r="D11" i="5"/>
  <c r="C11" i="5"/>
  <c r="D10" i="5"/>
  <c r="C10" i="5"/>
  <c r="D9" i="5"/>
  <c r="C9" i="5"/>
  <c r="D8" i="5"/>
  <c r="C8" i="5"/>
  <c r="B8" i="5"/>
  <c r="A8" i="5"/>
  <c r="D7" i="5"/>
  <c r="C7" i="5"/>
  <c r="B7" i="5"/>
  <c r="A7" i="5"/>
  <c r="D6" i="5"/>
  <c r="C6" i="5"/>
  <c r="D5" i="5"/>
  <c r="C5" i="5"/>
  <c r="B5" i="5"/>
  <c r="A5" i="5"/>
  <c r="D4" i="5"/>
  <c r="C4" i="5"/>
  <c r="B4" i="5"/>
  <c r="A4" i="5"/>
  <c r="D3" i="5"/>
  <c r="C3" i="5"/>
  <c r="B3" i="5"/>
  <c r="A3" i="5"/>
  <c r="B2" i="5"/>
  <c r="A2" i="5"/>
  <c r="A1" i="5"/>
  <c r="BW22" i="3"/>
  <c r="BR22" i="3"/>
  <c r="BQ22" i="3"/>
  <c r="BJ22" i="3" s="1"/>
  <c r="BN22" i="3"/>
  <c r="BM22" i="3"/>
  <c r="BK22" i="3"/>
  <c r="AY22" i="3"/>
  <c r="AA22" i="3"/>
  <c r="Z22" i="3"/>
  <c r="Y22" i="3"/>
  <c r="X22" i="3"/>
  <c r="W22" i="3"/>
  <c r="V22" i="3"/>
  <c r="U22" i="3"/>
  <c r="T22" i="3"/>
  <c r="S22" i="3"/>
  <c r="AC22" i="3" s="1"/>
  <c r="R22" i="3"/>
  <c r="AB22" i="3" s="1"/>
  <c r="AD22" i="3" s="1"/>
  <c r="Q22" i="3"/>
  <c r="P22" i="3"/>
  <c r="BU22" i="3" s="1"/>
  <c r="O22" i="3"/>
  <c r="N22" i="3"/>
  <c r="M22" i="3"/>
  <c r="L22" i="3"/>
  <c r="K22" i="3"/>
  <c r="J22" i="3"/>
  <c r="I22" i="3"/>
  <c r="H22" i="3"/>
  <c r="G22" i="3"/>
  <c r="L23" i="6" s="1"/>
  <c r="F22" i="3"/>
  <c r="E22" i="3"/>
  <c r="D22" i="3"/>
  <c r="CH22" i="3" s="1"/>
  <c r="K23" i="6" s="1"/>
  <c r="BR21" i="3"/>
  <c r="BQ21" i="3"/>
  <c r="BN21" i="3"/>
  <c r="BM21" i="3"/>
  <c r="BK21" i="3"/>
  <c r="BJ21" i="3"/>
  <c r="AY21" i="3"/>
  <c r="AC21" i="3"/>
  <c r="AA21" i="3"/>
  <c r="Z21" i="3"/>
  <c r="Y21" i="3"/>
  <c r="X21" i="3"/>
  <c r="W21" i="3"/>
  <c r="V21" i="3"/>
  <c r="U21" i="3"/>
  <c r="T21" i="3"/>
  <c r="S21" i="3"/>
  <c r="R21" i="3"/>
  <c r="AB21" i="3" s="1"/>
  <c r="Q21" i="3"/>
  <c r="BX21" i="3" s="1"/>
  <c r="P21" i="3"/>
  <c r="O21" i="3"/>
  <c r="N21" i="3"/>
  <c r="M21" i="3"/>
  <c r="L21" i="3"/>
  <c r="K21" i="3"/>
  <c r="J21" i="3"/>
  <c r="I21" i="3"/>
  <c r="BG21" i="3" s="1"/>
  <c r="H21" i="3"/>
  <c r="BF21" i="3" s="1"/>
  <c r="G21" i="3"/>
  <c r="L22" i="6" s="1"/>
  <c r="F21" i="3"/>
  <c r="E21" i="3"/>
  <c r="D21" i="3"/>
  <c r="BR20" i="3"/>
  <c r="BQ20" i="3"/>
  <c r="BK20" i="3"/>
  <c r="BJ20" i="3"/>
  <c r="AY20" i="3"/>
  <c r="AC20" i="3"/>
  <c r="AB20" i="3"/>
  <c r="AA20" i="3"/>
  <c r="Z20" i="3"/>
  <c r="Y20" i="3"/>
  <c r="X20" i="3"/>
  <c r="W20" i="3"/>
  <c r="V20" i="3"/>
  <c r="U20" i="3"/>
  <c r="T20" i="3"/>
  <c r="S20" i="3"/>
  <c r="R20" i="3"/>
  <c r="Q20" i="3"/>
  <c r="P20" i="3"/>
  <c r="O20" i="3"/>
  <c r="N20" i="3"/>
  <c r="M20" i="3"/>
  <c r="L20" i="3"/>
  <c r="K20" i="3"/>
  <c r="J20" i="3"/>
  <c r="I20" i="3"/>
  <c r="H20" i="3"/>
  <c r="BF20" i="3" s="1"/>
  <c r="G20" i="3"/>
  <c r="L21" i="6" s="1"/>
  <c r="F20" i="3"/>
  <c r="E20" i="3"/>
  <c r="D20" i="3"/>
  <c r="BX19" i="3"/>
  <c r="BV19" i="3"/>
  <c r="BT19" i="3"/>
  <c r="BR19" i="3"/>
  <c r="BQ19" i="3"/>
  <c r="BK19" i="3"/>
  <c r="BJ19" i="3"/>
  <c r="AY19" i="3"/>
  <c r="AB19" i="3"/>
  <c r="AD19" i="3" s="1"/>
  <c r="AA19" i="3"/>
  <c r="BN19" i="3" s="1"/>
  <c r="Z19" i="3"/>
  <c r="Y19" i="3"/>
  <c r="X19" i="3"/>
  <c r="W19" i="3"/>
  <c r="V19" i="3"/>
  <c r="U19" i="3"/>
  <c r="AC19" i="3" s="1"/>
  <c r="T19" i="3"/>
  <c r="S19" i="3"/>
  <c r="R19" i="3"/>
  <c r="Q19" i="3"/>
  <c r="AT19" i="3" s="1"/>
  <c r="AV19" i="3" s="1"/>
  <c r="AX19" i="3" s="1"/>
  <c r="P19" i="3"/>
  <c r="O19" i="3"/>
  <c r="N19" i="3"/>
  <c r="M19" i="3"/>
  <c r="L19" i="3"/>
  <c r="K19" i="3"/>
  <c r="J19" i="3"/>
  <c r="I19" i="3"/>
  <c r="H19" i="3"/>
  <c r="G19" i="3"/>
  <c r="L20" i="6" s="1"/>
  <c r="F19" i="3"/>
  <c r="E19" i="3"/>
  <c r="D19" i="3"/>
  <c r="BW18" i="3"/>
  <c r="BU18" i="3"/>
  <c r="BS18" i="3"/>
  <c r="BR18" i="3"/>
  <c r="BQ18" i="3"/>
  <c r="BM18" i="3"/>
  <c r="BJ18" i="3"/>
  <c r="AY18" i="3"/>
  <c r="AC18" i="3"/>
  <c r="AA18" i="3"/>
  <c r="Z18" i="3"/>
  <c r="BN18" i="3" s="1"/>
  <c r="Y18" i="3"/>
  <c r="BK18" i="3" s="1"/>
  <c r="X18" i="3"/>
  <c r="W18" i="3"/>
  <c r="V18" i="3"/>
  <c r="U18" i="3"/>
  <c r="T18" i="3"/>
  <c r="S18" i="3"/>
  <c r="R18" i="3"/>
  <c r="AB18" i="3" s="1"/>
  <c r="Q18" i="3"/>
  <c r="P18" i="3"/>
  <c r="AS18" i="3" s="1"/>
  <c r="AU18" i="3" s="1"/>
  <c r="AW18" i="3" s="1"/>
  <c r="O18" i="3"/>
  <c r="N18" i="3"/>
  <c r="M18" i="3"/>
  <c r="BV18" i="3" s="1"/>
  <c r="L18" i="3"/>
  <c r="K18" i="3"/>
  <c r="J18" i="3"/>
  <c r="I18" i="3"/>
  <c r="H18" i="3"/>
  <c r="G18" i="3"/>
  <c r="L19" i="6" s="1"/>
  <c r="F18" i="3"/>
  <c r="E18" i="3"/>
  <c r="D18" i="3"/>
  <c r="CH18" i="3" s="1"/>
  <c r="K19" i="6" s="1"/>
  <c r="BR17" i="3"/>
  <c r="BQ17" i="3"/>
  <c r="BL17" i="3"/>
  <c r="BJ17" i="3"/>
  <c r="G18" i="6" s="1"/>
  <c r="AY17" i="3"/>
  <c r="AB17" i="3"/>
  <c r="AA17" i="3"/>
  <c r="Z17" i="3"/>
  <c r="BN17" i="3" s="1"/>
  <c r="Y17" i="3"/>
  <c r="X17" i="3"/>
  <c r="BK17" i="3" s="1"/>
  <c r="W17" i="3"/>
  <c r="V17" i="3"/>
  <c r="U17" i="3"/>
  <c r="T17" i="3"/>
  <c r="S17" i="3"/>
  <c r="AC17" i="3" s="1"/>
  <c r="R17" i="3"/>
  <c r="Q17" i="3"/>
  <c r="P17" i="3"/>
  <c r="O17" i="3"/>
  <c r="N17" i="3"/>
  <c r="M17" i="3"/>
  <c r="AT17" i="3" s="1"/>
  <c r="AV17" i="3" s="1"/>
  <c r="AX17" i="3" s="1"/>
  <c r="L17" i="3"/>
  <c r="K17" i="3"/>
  <c r="J17" i="3"/>
  <c r="I17" i="3"/>
  <c r="H17" i="3"/>
  <c r="G17" i="3"/>
  <c r="L18" i="6" s="1"/>
  <c r="F17" i="3"/>
  <c r="E17" i="3"/>
  <c r="D17" i="3"/>
  <c r="CH17" i="3" s="1"/>
  <c r="K18" i="6" s="1"/>
  <c r="BW16" i="3"/>
  <c r="CA16" i="3" s="1"/>
  <c r="BT16" i="3"/>
  <c r="BR16" i="3"/>
  <c r="BQ16" i="3"/>
  <c r="BJ16" i="3" s="1"/>
  <c r="G16" i="6" s="1"/>
  <c r="AY16" i="3"/>
  <c r="AA16" i="3"/>
  <c r="Z16" i="3"/>
  <c r="Y16" i="3"/>
  <c r="X16" i="3"/>
  <c r="BK16" i="3" s="1"/>
  <c r="W16" i="3"/>
  <c r="V16" i="3"/>
  <c r="U16" i="3"/>
  <c r="T16" i="3"/>
  <c r="S16" i="3"/>
  <c r="AC16" i="3" s="1"/>
  <c r="R16" i="3"/>
  <c r="AB16" i="3" s="1"/>
  <c r="Q16" i="3"/>
  <c r="BX16" i="3" s="1"/>
  <c r="P16" i="3"/>
  <c r="O16" i="3"/>
  <c r="N16" i="3"/>
  <c r="M16" i="3"/>
  <c r="L16" i="3"/>
  <c r="AS16" i="3" s="1"/>
  <c r="AU16" i="3" s="1"/>
  <c r="AW16" i="3" s="1"/>
  <c r="K16" i="3"/>
  <c r="BG16" i="3" s="1"/>
  <c r="J16" i="3"/>
  <c r="BF16" i="3" s="1"/>
  <c r="I16" i="3"/>
  <c r="H16" i="3"/>
  <c r="G16" i="3"/>
  <c r="L16" i="6" s="1"/>
  <c r="F16" i="3"/>
  <c r="E16" i="3"/>
  <c r="D16" i="3"/>
  <c r="BV15" i="3"/>
  <c r="BT15" i="3"/>
  <c r="BS15" i="3"/>
  <c r="BY15" i="3" s="1"/>
  <c r="BR15" i="3"/>
  <c r="BJ15" i="3" s="1"/>
  <c r="BQ15" i="3"/>
  <c r="AY15" i="3"/>
  <c r="AT15" i="3"/>
  <c r="AV15" i="3" s="1"/>
  <c r="AX15" i="3" s="1"/>
  <c r="AA15" i="3"/>
  <c r="Z15" i="3"/>
  <c r="BN15" i="3" s="1"/>
  <c r="Y15" i="3"/>
  <c r="X15" i="3"/>
  <c r="BK15" i="3" s="1"/>
  <c r="W15" i="3"/>
  <c r="V15" i="3"/>
  <c r="U15" i="3"/>
  <c r="AC15" i="3" s="1"/>
  <c r="T15" i="3"/>
  <c r="S15" i="3"/>
  <c r="R15" i="3"/>
  <c r="AB15" i="3" s="1"/>
  <c r="Q15" i="3"/>
  <c r="BM15" i="3" s="1"/>
  <c r="P15" i="3"/>
  <c r="O15" i="3"/>
  <c r="N15" i="3"/>
  <c r="M15" i="3"/>
  <c r="CC15" i="3" s="1"/>
  <c r="L15" i="3"/>
  <c r="K15" i="3"/>
  <c r="J15" i="3"/>
  <c r="BF15" i="3" s="1"/>
  <c r="I15" i="3"/>
  <c r="H15" i="3"/>
  <c r="G15" i="3"/>
  <c r="L15" i="6" s="1"/>
  <c r="F15" i="3"/>
  <c r="E15" i="3"/>
  <c r="D15" i="3"/>
  <c r="CH15" i="3" s="1"/>
  <c r="K15" i="6" s="1"/>
  <c r="CC14" i="3"/>
  <c r="BU14" i="3"/>
  <c r="BZ14" i="3" s="1"/>
  <c r="BS14" i="3"/>
  <c r="BR14" i="3"/>
  <c r="BG14" i="3" s="1"/>
  <c r="BQ14" i="3"/>
  <c r="BJ14" i="3" s="1"/>
  <c r="AY14" i="3"/>
  <c r="AG14" i="3"/>
  <c r="AI14" i="3" s="1"/>
  <c r="AK14" i="3" s="1"/>
  <c r="AM14" i="3" s="1"/>
  <c r="AA14" i="3"/>
  <c r="Z14" i="3"/>
  <c r="BN14" i="3" s="1"/>
  <c r="Y14" i="3"/>
  <c r="X14" i="3"/>
  <c r="BK14" i="3" s="1"/>
  <c r="W14" i="3"/>
  <c r="V14" i="3"/>
  <c r="U14" i="3"/>
  <c r="T14" i="3"/>
  <c r="S14" i="3"/>
  <c r="AC14" i="3" s="1"/>
  <c r="AE14" i="3" s="1"/>
  <c r="R14" i="3"/>
  <c r="AB14" i="3" s="1"/>
  <c r="Q14" i="3"/>
  <c r="BX14" i="3" s="1"/>
  <c r="P14" i="3"/>
  <c r="CB14" i="3" s="1"/>
  <c r="AZ14" i="3" s="1"/>
  <c r="CE14" i="3" s="1"/>
  <c r="F17" i="6" s="1"/>
  <c r="O14" i="3"/>
  <c r="N14" i="3"/>
  <c r="M14" i="3"/>
  <c r="BV14" i="3" s="1"/>
  <c r="L14" i="3"/>
  <c r="K14" i="3"/>
  <c r="J14" i="3"/>
  <c r="BF14" i="3" s="1"/>
  <c r="I14" i="3"/>
  <c r="H14" i="3"/>
  <c r="G14" i="3"/>
  <c r="L17" i="6" s="1"/>
  <c r="F14" i="3"/>
  <c r="E14" i="3"/>
  <c r="D14" i="3"/>
  <c r="CC13" i="3"/>
  <c r="BT13" i="3"/>
  <c r="BR13" i="3"/>
  <c r="BQ13" i="3"/>
  <c r="BN13" i="3"/>
  <c r="BF13" i="3"/>
  <c r="AY13" i="3"/>
  <c r="AA13" i="3"/>
  <c r="Z13" i="3"/>
  <c r="Y13" i="3"/>
  <c r="X13" i="3"/>
  <c r="BK13" i="3" s="1"/>
  <c r="W13" i="3"/>
  <c r="V13" i="3"/>
  <c r="U13" i="3"/>
  <c r="T13" i="3"/>
  <c r="S13" i="3"/>
  <c r="R13" i="3"/>
  <c r="Q13" i="3"/>
  <c r="BX13" i="3" s="1"/>
  <c r="P13" i="3"/>
  <c r="BM13" i="3" s="1"/>
  <c r="O13" i="3"/>
  <c r="N13" i="3"/>
  <c r="M13" i="3"/>
  <c r="L13" i="3"/>
  <c r="CB13" i="3" s="1"/>
  <c r="AZ13" i="3" s="1"/>
  <c r="K13" i="3"/>
  <c r="J13" i="3"/>
  <c r="I13" i="3"/>
  <c r="H13" i="3"/>
  <c r="G13" i="3"/>
  <c r="L13" i="6" s="1"/>
  <c r="F13" i="3"/>
  <c r="E13" i="3"/>
  <c r="D13" i="3"/>
  <c r="CC12" i="3"/>
  <c r="CB12" i="3"/>
  <c r="BS12" i="3"/>
  <c r="BR12" i="3"/>
  <c r="BQ12" i="3"/>
  <c r="BJ12" i="3" s="1"/>
  <c r="AY12" i="3"/>
  <c r="AA12" i="3"/>
  <c r="BN12" i="3" s="1"/>
  <c r="Z12" i="3"/>
  <c r="Y12" i="3"/>
  <c r="X12" i="3"/>
  <c r="BK12" i="3" s="1"/>
  <c r="W12" i="3"/>
  <c r="V12" i="3"/>
  <c r="U12" i="3"/>
  <c r="T12" i="3"/>
  <c r="S12" i="3"/>
  <c r="AC12" i="3" s="1"/>
  <c r="AE12" i="3" s="1"/>
  <c r="AG12" i="3" s="1"/>
  <c r="AI12" i="3" s="1"/>
  <c r="AK12" i="3" s="1"/>
  <c r="AM12" i="3" s="1"/>
  <c r="R12" i="3"/>
  <c r="AB12" i="3" s="1"/>
  <c r="Q12" i="3"/>
  <c r="BM12" i="3" s="1"/>
  <c r="P12" i="3"/>
  <c r="BW12" i="3" s="1"/>
  <c r="O12" i="3"/>
  <c r="N12" i="3"/>
  <c r="M12" i="3"/>
  <c r="L12" i="3"/>
  <c r="K12" i="3"/>
  <c r="BG12" i="3" s="1"/>
  <c r="J12" i="3"/>
  <c r="I12" i="3"/>
  <c r="H12" i="3"/>
  <c r="G12" i="3"/>
  <c r="L12" i="6" s="1"/>
  <c r="F12" i="3"/>
  <c r="E12" i="3"/>
  <c r="D12" i="3"/>
  <c r="CH12" i="3" s="1"/>
  <c r="K12" i="6" s="1"/>
  <c r="CB11" i="3"/>
  <c r="BX11" i="3"/>
  <c r="BR11" i="3"/>
  <c r="BJ11" i="3" s="1"/>
  <c r="BQ11" i="3"/>
  <c r="BN11" i="3"/>
  <c r="AY11" i="3"/>
  <c r="AT11" i="3"/>
  <c r="AV11" i="3" s="1"/>
  <c r="AX11" i="3" s="1"/>
  <c r="AE11" i="3"/>
  <c r="AA11" i="3"/>
  <c r="Z11" i="3"/>
  <c r="Y11" i="3"/>
  <c r="BK11" i="3" s="1"/>
  <c r="X11" i="3"/>
  <c r="W11" i="3"/>
  <c r="V11" i="3"/>
  <c r="U11" i="3"/>
  <c r="T11" i="3"/>
  <c r="S11" i="3"/>
  <c r="AC11" i="3" s="1"/>
  <c r="R11" i="3"/>
  <c r="AB11" i="3" s="1"/>
  <c r="BL11" i="3" s="1"/>
  <c r="Q11" i="3"/>
  <c r="BV11" i="3" s="1"/>
  <c r="P11" i="3"/>
  <c r="BM11" i="3" s="1"/>
  <c r="O11" i="3"/>
  <c r="N11" i="3"/>
  <c r="M11" i="3"/>
  <c r="L11" i="3"/>
  <c r="K11" i="3"/>
  <c r="J11" i="3"/>
  <c r="BF11" i="3" s="1"/>
  <c r="I11" i="3"/>
  <c r="BG11" i="3" s="1"/>
  <c r="H11" i="3"/>
  <c r="G11" i="3"/>
  <c r="L11" i="6" s="1"/>
  <c r="F11" i="3"/>
  <c r="E11" i="3"/>
  <c r="D11" i="3"/>
  <c r="CH11" i="3" s="1"/>
  <c r="K11" i="6" s="1"/>
  <c r="BW10" i="3"/>
  <c r="BR10" i="3"/>
  <c r="BQ10" i="3"/>
  <c r="BJ10" i="3" s="1"/>
  <c r="BM10" i="3"/>
  <c r="BK10" i="3"/>
  <c r="AY10" i="3"/>
  <c r="AS10" i="3"/>
  <c r="AU10" i="3" s="1"/>
  <c r="AW10" i="3" s="1"/>
  <c r="AA10" i="3"/>
  <c r="BN10" i="3" s="1"/>
  <c r="Z10" i="3"/>
  <c r="Y10" i="3"/>
  <c r="X10" i="3"/>
  <c r="W10" i="3"/>
  <c r="V10" i="3"/>
  <c r="U10" i="3"/>
  <c r="T10" i="3"/>
  <c r="S10" i="3"/>
  <c r="AC10" i="3" s="1"/>
  <c r="R10" i="3"/>
  <c r="AB10" i="3" s="1"/>
  <c r="AD10" i="3" s="1"/>
  <c r="Q10" i="3"/>
  <c r="CC10" i="3" s="1"/>
  <c r="P10" i="3"/>
  <c r="BU10" i="3" s="1"/>
  <c r="O10" i="3"/>
  <c r="N10" i="3"/>
  <c r="M10" i="3"/>
  <c r="L10" i="3"/>
  <c r="K10" i="3"/>
  <c r="J10" i="3"/>
  <c r="I10" i="3"/>
  <c r="H10" i="3"/>
  <c r="G10" i="3"/>
  <c r="L10" i="6" s="1"/>
  <c r="F10" i="3"/>
  <c r="E10" i="3"/>
  <c r="D10" i="3"/>
  <c r="CH9" i="3"/>
  <c r="K9" i="6" s="1"/>
  <c r="CB9" i="3"/>
  <c r="BR9" i="3"/>
  <c r="BQ9" i="3"/>
  <c r="BJ9" i="3"/>
  <c r="AY9" i="3"/>
  <c r="AB9" i="3"/>
  <c r="AA9" i="3"/>
  <c r="Z9" i="3"/>
  <c r="BN9" i="3" s="1"/>
  <c r="Y9" i="3"/>
  <c r="BK9" i="3" s="1"/>
  <c r="X9" i="3"/>
  <c r="W9" i="3"/>
  <c r="V9" i="3"/>
  <c r="U9" i="3"/>
  <c r="AC9" i="3" s="1"/>
  <c r="T9" i="3"/>
  <c r="S9" i="3"/>
  <c r="R9" i="3"/>
  <c r="Q9" i="3"/>
  <c r="P9" i="3"/>
  <c r="BM9" i="3" s="1"/>
  <c r="O9" i="3"/>
  <c r="N9" i="3"/>
  <c r="M9" i="3"/>
  <c r="BX9" i="3" s="1"/>
  <c r="L9" i="3"/>
  <c r="K9" i="3"/>
  <c r="J9" i="3"/>
  <c r="I9" i="3"/>
  <c r="H9" i="3"/>
  <c r="G9" i="3"/>
  <c r="L9" i="6" s="1"/>
  <c r="F9" i="3"/>
  <c r="E9" i="3"/>
  <c r="D9" i="3"/>
  <c r="BT8" i="3"/>
  <c r="BS8" i="3"/>
  <c r="BY8" i="3" s="1"/>
  <c r="BR8" i="3"/>
  <c r="BQ8" i="3"/>
  <c r="BJ8" i="3" s="1"/>
  <c r="BF8" i="3"/>
  <c r="AY8" i="3"/>
  <c r="AT8" i="3"/>
  <c r="AV8" i="3" s="1"/>
  <c r="AX8" i="3" s="1"/>
  <c r="AC8" i="3"/>
  <c r="AE8" i="3" s="1"/>
  <c r="AB8" i="3"/>
  <c r="AA8" i="3"/>
  <c r="Z8" i="3"/>
  <c r="BN8" i="3" s="1"/>
  <c r="Y8" i="3"/>
  <c r="X8" i="3"/>
  <c r="BK8" i="3" s="1"/>
  <c r="W8" i="3"/>
  <c r="V8" i="3"/>
  <c r="U8" i="3"/>
  <c r="T8" i="3"/>
  <c r="S8" i="3"/>
  <c r="R8" i="3"/>
  <c r="Q8" i="3"/>
  <c r="BX8" i="3" s="1"/>
  <c r="P8" i="3"/>
  <c r="CB8" i="3" s="1"/>
  <c r="O8" i="3"/>
  <c r="N8" i="3"/>
  <c r="M8" i="3"/>
  <c r="L8" i="3"/>
  <c r="BU8" i="3" s="1"/>
  <c r="K8" i="3"/>
  <c r="BG8" i="3" s="1"/>
  <c r="J8" i="3"/>
  <c r="I8" i="3"/>
  <c r="H8" i="3"/>
  <c r="G8" i="3"/>
  <c r="L8" i="6" s="1"/>
  <c r="F8" i="3"/>
  <c r="E8" i="3"/>
  <c r="D8" i="3"/>
  <c r="CH8" i="3" s="1"/>
  <c r="K8" i="6" s="1"/>
  <c r="CC7" i="3"/>
  <c r="BX7" i="3"/>
  <c r="BV7" i="3"/>
  <c r="BT7" i="3"/>
  <c r="BS7" i="3"/>
  <c r="BY7" i="3" s="1"/>
  <c r="BR7" i="3"/>
  <c r="BQ7" i="3"/>
  <c r="BJ7" i="3" s="1"/>
  <c r="AY7" i="3"/>
  <c r="AS7" i="3"/>
  <c r="AU7" i="3" s="1"/>
  <c r="AW7" i="3" s="1"/>
  <c r="AB7" i="3"/>
  <c r="AD7" i="3" s="1"/>
  <c r="AA7" i="3"/>
  <c r="Z7" i="3"/>
  <c r="BN7" i="3" s="1"/>
  <c r="Y7" i="3"/>
  <c r="X7" i="3"/>
  <c r="BK7" i="3" s="1"/>
  <c r="W7" i="3"/>
  <c r="V7" i="3"/>
  <c r="U7" i="3"/>
  <c r="T7" i="3"/>
  <c r="S7" i="3"/>
  <c r="AC7" i="3" s="1"/>
  <c r="R7" i="3"/>
  <c r="Q7" i="3"/>
  <c r="P7" i="3"/>
  <c r="BM7" i="3" s="1"/>
  <c r="O7" i="3"/>
  <c r="N7" i="3"/>
  <c r="M7" i="3"/>
  <c r="L7" i="3"/>
  <c r="K7" i="3"/>
  <c r="J7" i="3"/>
  <c r="BF7" i="3" s="1"/>
  <c r="I7" i="3"/>
  <c r="BG7" i="3" s="1"/>
  <c r="H7" i="3"/>
  <c r="G7" i="3"/>
  <c r="L14" i="6" s="1"/>
  <c r="F7" i="3"/>
  <c r="E7" i="3"/>
  <c r="D7" i="3"/>
  <c r="CC6" i="3"/>
  <c r="CB6" i="3"/>
  <c r="AZ6" i="3" s="1"/>
  <c r="CE6" i="3" s="1"/>
  <c r="F7" i="6" s="1"/>
  <c r="BW6" i="3"/>
  <c r="CA6" i="3" s="1"/>
  <c r="BV6" i="3"/>
  <c r="BS6" i="3"/>
  <c r="BR6" i="3"/>
  <c r="BQ6" i="3"/>
  <c r="BJ6" i="3" s="1"/>
  <c r="BK6" i="3"/>
  <c r="AY6" i="3"/>
  <c r="AA6" i="3"/>
  <c r="BN6" i="3" s="1"/>
  <c r="Z6" i="3"/>
  <c r="Y6" i="3"/>
  <c r="X6" i="3"/>
  <c r="W6" i="3"/>
  <c r="V6" i="3"/>
  <c r="U6" i="3"/>
  <c r="T6" i="3"/>
  <c r="S6" i="3"/>
  <c r="AC6" i="3" s="1"/>
  <c r="R6" i="3"/>
  <c r="AB6" i="3" s="1"/>
  <c r="Q6" i="3"/>
  <c r="P6" i="3"/>
  <c r="BM6" i="3" s="1"/>
  <c r="O6" i="3"/>
  <c r="N6" i="3"/>
  <c r="M6" i="3"/>
  <c r="BX6" i="3" s="1"/>
  <c r="L6" i="3"/>
  <c r="K6" i="3"/>
  <c r="J6" i="3"/>
  <c r="I6" i="3"/>
  <c r="BG6" i="3" s="1"/>
  <c r="H6" i="3"/>
  <c r="BF6" i="3" s="1"/>
  <c r="G6" i="3"/>
  <c r="L7" i="6" s="1"/>
  <c r="F6" i="3"/>
  <c r="E6" i="3"/>
  <c r="D6" i="3"/>
  <c r="CC5" i="3"/>
  <c r="CB5" i="3"/>
  <c r="AZ5" i="3" s="1"/>
  <c r="BU5" i="3"/>
  <c r="BR5" i="3"/>
  <c r="BQ5" i="3"/>
  <c r="BJ5" i="3" s="1"/>
  <c r="AY5" i="3"/>
  <c r="CE5" i="3" s="1"/>
  <c r="F6" i="6" s="1"/>
  <c r="AA5" i="3"/>
  <c r="Z5" i="3"/>
  <c r="BN5" i="3" s="1"/>
  <c r="Y5" i="3"/>
  <c r="X5" i="3"/>
  <c r="BK5" i="3" s="1"/>
  <c r="W5" i="3"/>
  <c r="V5" i="3"/>
  <c r="U5" i="3"/>
  <c r="T5" i="3"/>
  <c r="S5" i="3"/>
  <c r="AC5" i="3" s="1"/>
  <c r="R5" i="3"/>
  <c r="AB5" i="3" s="1"/>
  <c r="Q5" i="3"/>
  <c r="BX5" i="3" s="1"/>
  <c r="P5" i="3"/>
  <c r="O5" i="3"/>
  <c r="N5" i="3"/>
  <c r="M5" i="3"/>
  <c r="L5" i="3"/>
  <c r="BW5" i="3" s="1"/>
  <c r="CA5" i="3" s="1"/>
  <c r="K5" i="3"/>
  <c r="J5" i="3"/>
  <c r="I5" i="3"/>
  <c r="BG5" i="3" s="1"/>
  <c r="H5" i="3"/>
  <c r="BF5" i="3" s="1"/>
  <c r="G5" i="3"/>
  <c r="L6" i="6" s="1"/>
  <c r="F5" i="3"/>
  <c r="E5" i="3"/>
  <c r="D5" i="3"/>
  <c r="CH5" i="3" s="1"/>
  <c r="K6" i="6" s="1"/>
  <c r="A36" i="2"/>
  <c r="I34" i="2"/>
  <c r="I33" i="2"/>
  <c r="I32" i="2"/>
  <c r="I31" i="2"/>
  <c r="I30" i="2"/>
  <c r="I29" i="2"/>
  <c r="I28" i="2"/>
  <c r="I27" i="2"/>
  <c r="I26" i="2"/>
  <c r="I25" i="2"/>
  <c r="I24" i="2"/>
  <c r="I23" i="2"/>
  <c r="I22" i="2"/>
  <c r="I21" i="2"/>
  <c r="I20" i="2"/>
  <c r="I19" i="2"/>
  <c r="I18" i="2"/>
  <c r="I17" i="2"/>
  <c r="I16" i="2"/>
  <c r="F16" i="2"/>
  <c r="E16" i="2"/>
  <c r="D16" i="2"/>
  <c r="A16" i="2"/>
  <c r="A15" i="2"/>
  <c r="J13" i="2"/>
  <c r="D13" i="2"/>
  <c r="I12" i="2"/>
  <c r="A12" i="2"/>
  <c r="I11" i="2"/>
  <c r="A11" i="2"/>
  <c r="I10" i="2"/>
  <c r="A10" i="2"/>
  <c r="J9" i="2"/>
  <c r="I9" i="2"/>
  <c r="G9" i="2"/>
  <c r="F9" i="2"/>
  <c r="E9" i="2"/>
  <c r="D9" i="2"/>
  <c r="A9" i="2"/>
  <c r="A8" i="2"/>
  <c r="J5" i="2"/>
  <c r="B5" i="2"/>
  <c r="A5" i="2"/>
  <c r="A4" i="2"/>
  <c r="M3" i="2"/>
  <c r="J3" i="2"/>
  <c r="I3" i="2"/>
  <c r="H3" i="2"/>
  <c r="G3" i="2"/>
  <c r="E3" i="2"/>
  <c r="D3" i="2"/>
  <c r="A3" i="2"/>
  <c r="A2" i="2"/>
  <c r="A1" i="2"/>
  <c r="D48" i="1"/>
  <c r="A48" i="1"/>
  <c r="A47" i="1"/>
  <c r="D46" i="1"/>
  <c r="A46" i="1"/>
  <c r="A45" i="1"/>
  <c r="A44" i="1"/>
  <c r="D43" i="1"/>
  <c r="A43" i="1"/>
  <c r="D42" i="1"/>
  <c r="A42" i="1"/>
  <c r="A41" i="1"/>
  <c r="D39" i="1"/>
  <c r="A39" i="1"/>
  <c r="D37" i="1"/>
  <c r="B37" i="1"/>
  <c r="A37" i="1"/>
  <c r="D36" i="1"/>
  <c r="A36" i="1"/>
  <c r="D35" i="1"/>
  <c r="A35" i="1"/>
  <c r="D34" i="1"/>
  <c r="A34" i="1"/>
  <c r="A33" i="1"/>
  <c r="D31" i="1"/>
  <c r="B31" i="1"/>
  <c r="A31" i="1"/>
  <c r="D30" i="1"/>
  <c r="A30" i="1"/>
  <c r="D29" i="1"/>
  <c r="A29" i="1"/>
  <c r="D28" i="1"/>
  <c r="A28" i="1"/>
  <c r="D27" i="1"/>
  <c r="A27" i="1"/>
  <c r="D26" i="1"/>
  <c r="A26" i="1"/>
  <c r="D25" i="1"/>
  <c r="A25" i="1"/>
  <c r="A24" i="1"/>
  <c r="A23" i="1"/>
  <c r="A22" i="1"/>
  <c r="A21" i="1"/>
  <c r="A20" i="1"/>
  <c r="D19" i="1"/>
  <c r="A19" i="1"/>
  <c r="D18" i="1"/>
  <c r="A18" i="1"/>
  <c r="D17" i="1"/>
  <c r="A17" i="1"/>
  <c r="A16" i="1"/>
  <c r="A15" i="1"/>
  <c r="A14" i="1"/>
  <c r="A13" i="1"/>
  <c r="A12" i="1"/>
  <c r="A11" i="1"/>
  <c r="D9" i="1"/>
  <c r="A9" i="1"/>
  <c r="D8" i="1"/>
  <c r="A8" i="1"/>
  <c r="A6" i="1"/>
  <c r="D5" i="1"/>
  <c r="A5" i="1"/>
  <c r="D4" i="1"/>
  <c r="C4" i="1"/>
  <c r="B4" i="1"/>
  <c r="A4" i="1"/>
  <c r="A3" i="1"/>
  <c r="A2" i="1"/>
  <c r="A1" i="1"/>
  <c r="BC6" i="3" l="1"/>
  <c r="J7" i="6" s="1"/>
  <c r="CH6" i="3"/>
  <c r="K7" i="6" s="1"/>
  <c r="BD6" i="3"/>
  <c r="AE9" i="3"/>
  <c r="AG9" i="3"/>
  <c r="AI9" i="3" s="1"/>
  <c r="AK9" i="3" s="1"/>
  <c r="AM9" i="3" s="1"/>
  <c r="G14" i="6"/>
  <c r="BL6" i="3"/>
  <c r="AD6" i="3"/>
  <c r="AF6" i="3" s="1"/>
  <c r="AH6" i="3" s="1"/>
  <c r="AJ6" i="3" s="1"/>
  <c r="AL6" i="3" s="1"/>
  <c r="AN6" i="3" s="1"/>
  <c r="AS6" i="3"/>
  <c r="AU6" i="3" s="1"/>
  <c r="AW6" i="3" s="1"/>
  <c r="AT6" i="3"/>
  <c r="AV6" i="3" s="1"/>
  <c r="AX6" i="3" s="1"/>
  <c r="AE6" i="3"/>
  <c r="AG6" i="3"/>
  <c r="AI6" i="3" s="1"/>
  <c r="AK6" i="3" s="1"/>
  <c r="AM6" i="3" s="1"/>
  <c r="G15" i="6"/>
  <c r="G7" i="6"/>
  <c r="CF6" i="3"/>
  <c r="CG6" i="3" s="1"/>
  <c r="H7" i="6" s="1"/>
  <c r="BH6" i="3"/>
  <c r="AG10" i="3"/>
  <c r="AI10" i="3" s="1"/>
  <c r="AK10" i="3" s="1"/>
  <c r="AM10" i="3" s="1"/>
  <c r="AE10" i="3"/>
  <c r="BL21" i="3"/>
  <c r="AF21" i="3"/>
  <c r="AH21" i="3" s="1"/>
  <c r="AJ21" i="3" s="1"/>
  <c r="AL21" i="3" s="1"/>
  <c r="AD21" i="3"/>
  <c r="G8" i="6"/>
  <c r="G6" i="6"/>
  <c r="CF5" i="3"/>
  <c r="CG5" i="3" s="1"/>
  <c r="H6" i="6" s="1"/>
  <c r="AE7" i="3"/>
  <c r="AG7" i="3" s="1"/>
  <c r="AI7" i="3" s="1"/>
  <c r="AK7" i="3" s="1"/>
  <c r="AM7" i="3" s="1"/>
  <c r="AT7" i="3"/>
  <c r="AV7" i="3" s="1"/>
  <c r="AX7" i="3" s="1"/>
  <c r="J12" i="2"/>
  <c r="BL5" i="3"/>
  <c r="AS5" i="3"/>
  <c r="AU5" i="3" s="1"/>
  <c r="AW5" i="3" s="1"/>
  <c r="AD5" i="3"/>
  <c r="AF5" i="3" s="1"/>
  <c r="AH5" i="3" s="1"/>
  <c r="AJ5" i="3" s="1"/>
  <c r="AL5" i="3" s="1"/>
  <c r="AN5" i="3" s="1"/>
  <c r="AT5" i="3"/>
  <c r="AV5" i="3" s="1"/>
  <c r="AX5" i="3" s="1"/>
  <c r="AG5" i="3"/>
  <c r="AI5" i="3" s="1"/>
  <c r="AK5" i="3" s="1"/>
  <c r="AM5" i="3" s="1"/>
  <c r="AE5" i="3"/>
  <c r="AE22" i="3"/>
  <c r="AG22" i="3" s="1"/>
  <c r="AI22" i="3" s="1"/>
  <c r="AK22" i="3" s="1"/>
  <c r="AM22" i="3" s="1"/>
  <c r="F7" i="2"/>
  <c r="BM5" i="3"/>
  <c r="BB6" i="3"/>
  <c r="J6" i="2"/>
  <c r="AF7" i="3"/>
  <c r="AH7" i="3" s="1"/>
  <c r="AJ7" i="3" s="1"/>
  <c r="AL7" i="3" s="1"/>
  <c r="CB7" i="3"/>
  <c r="AZ7" i="3" s="1"/>
  <c r="CE7" i="3" s="1"/>
  <c r="F14" i="6" s="1"/>
  <c r="AG8" i="3"/>
  <c r="AI8" i="3" s="1"/>
  <c r="AK8" i="3" s="1"/>
  <c r="AM8" i="3" s="1"/>
  <c r="AS8" i="3"/>
  <c r="AU8" i="3" s="1"/>
  <c r="AW8" i="3" s="1"/>
  <c r="AZ12" i="3"/>
  <c r="CE12" i="3" s="1"/>
  <c r="F12" i="6" s="1"/>
  <c r="AD15" i="3"/>
  <c r="AF15" i="3" s="1"/>
  <c r="AH15" i="3" s="1"/>
  <c r="AJ15" i="3" s="1"/>
  <c r="AL15" i="3" s="1"/>
  <c r="AN15" i="3" s="1"/>
  <c r="BL15" i="3"/>
  <c r="CF15" i="3" s="1"/>
  <c r="CG15" i="3" s="1"/>
  <c r="H15" i="6" s="1"/>
  <c r="BU16" i="3"/>
  <c r="BX17" i="3"/>
  <c r="G20" i="6"/>
  <c r="CH20" i="3"/>
  <c r="K21" i="6" s="1"/>
  <c r="BU20" i="3"/>
  <c r="BS20" i="3"/>
  <c r="AS20" i="3"/>
  <c r="AU20" i="3" s="1"/>
  <c r="AW20" i="3" s="1"/>
  <c r="CB20" i="3"/>
  <c r="AF20" i="3"/>
  <c r="AH20" i="3" s="1"/>
  <c r="AJ20" i="3" s="1"/>
  <c r="AL20" i="3" s="1"/>
  <c r="AD20" i="3"/>
  <c r="BX22" i="3"/>
  <c r="CA22" i="3" s="1"/>
  <c r="BV22" i="3"/>
  <c r="BZ22" i="3" s="1"/>
  <c r="BT22" i="3"/>
  <c r="AT22" i="3"/>
  <c r="AV22" i="3" s="1"/>
  <c r="AX22" i="3" s="1"/>
  <c r="BV20" i="3"/>
  <c r="BT20" i="3"/>
  <c r="AT20" i="3"/>
  <c r="AV20" i="3" s="1"/>
  <c r="AX20" i="3" s="1"/>
  <c r="CC20" i="3"/>
  <c r="BL20" i="3"/>
  <c r="BL22" i="3"/>
  <c r="CF22" i="3" s="1"/>
  <c r="CG22" i="3" s="1"/>
  <c r="H23" i="6" s="1"/>
  <c r="AF22" i="3"/>
  <c r="AH22" i="3" s="1"/>
  <c r="AJ22" i="3" s="1"/>
  <c r="AL22" i="3" s="1"/>
  <c r="BU19" i="3"/>
  <c r="BZ19" i="3" s="1"/>
  <c r="BS19" i="3"/>
  <c r="BY19" i="3" s="1"/>
  <c r="AS19" i="3"/>
  <c r="AU19" i="3" s="1"/>
  <c r="AW19" i="3" s="1"/>
  <c r="CB19" i="3"/>
  <c r="BM19" i="3"/>
  <c r="AG15" i="3"/>
  <c r="AI15" i="3" s="1"/>
  <c r="AK15" i="3" s="1"/>
  <c r="AM15" i="3" s="1"/>
  <c r="AE15" i="3"/>
  <c r="BF22" i="3"/>
  <c r="B7" i="2"/>
  <c r="E7" i="2"/>
  <c r="AF14" i="3"/>
  <c r="AH14" i="3" s="1"/>
  <c r="AJ14" i="3" s="1"/>
  <c r="AL14" i="3" s="1"/>
  <c r="AN14" i="3" s="1"/>
  <c r="AD14" i="3"/>
  <c r="BL14" i="3"/>
  <c r="G14" i="2" s="1"/>
  <c r="G23" i="6"/>
  <c r="H7" i="2"/>
  <c r="BS5" i="3"/>
  <c r="BT6" i="3"/>
  <c r="BY6" i="3" s="1"/>
  <c r="BI6" i="3" s="1"/>
  <c r="BU7" i="3"/>
  <c r="BZ7" i="3" s="1"/>
  <c r="BI7" i="3" s="1"/>
  <c r="BV8" i="3"/>
  <c r="BZ8" i="3" s="1"/>
  <c r="BI8" i="3" s="1"/>
  <c r="BT9" i="3"/>
  <c r="AT9" i="3"/>
  <c r="AV9" i="3" s="1"/>
  <c r="AX9" i="3" s="1"/>
  <c r="CC9" i="3"/>
  <c r="AZ9" i="3" s="1"/>
  <c r="CE9" i="3" s="1"/>
  <c r="F9" i="6" s="1"/>
  <c r="CH10" i="3"/>
  <c r="K10" i="6" s="1"/>
  <c r="AB13" i="3"/>
  <c r="AS14" i="3"/>
  <c r="AU14" i="3" s="1"/>
  <c r="AW14" i="3" s="1"/>
  <c r="AT16" i="3"/>
  <c r="AV16" i="3" s="1"/>
  <c r="AX16" i="3" s="1"/>
  <c r="CC16" i="3"/>
  <c r="BV16" i="3"/>
  <c r="BS17" i="3"/>
  <c r="AS17" i="3"/>
  <c r="AU17" i="3" s="1"/>
  <c r="AW17" i="3" s="1"/>
  <c r="CB17" i="3"/>
  <c r="BM17" i="3"/>
  <c r="CF17" i="3" s="1"/>
  <c r="CG17" i="3" s="1"/>
  <c r="H18" i="6" s="1"/>
  <c r="BW17" i="3"/>
  <c r="CA17" i="3" s="1"/>
  <c r="AD17" i="3"/>
  <c r="AF17" i="3" s="1"/>
  <c r="AH17" i="3" s="1"/>
  <c r="AJ17" i="3" s="1"/>
  <c r="AL17" i="3" s="1"/>
  <c r="AN17" i="3" s="1"/>
  <c r="BT18" i="3"/>
  <c r="BY18" i="3" s="1"/>
  <c r="AT18" i="3"/>
  <c r="AV18" i="3" s="1"/>
  <c r="AX18" i="3" s="1"/>
  <c r="CC18" i="3"/>
  <c r="BX18" i="3"/>
  <c r="BG20" i="3"/>
  <c r="E11" i="2"/>
  <c r="F14" i="2"/>
  <c r="AG18" i="3"/>
  <c r="AI18" i="3" s="1"/>
  <c r="AK18" i="3" s="1"/>
  <c r="AM18" i="3" s="1"/>
  <c r="AE18" i="3"/>
  <c r="BG22" i="3"/>
  <c r="B6" i="2"/>
  <c r="I7" i="2"/>
  <c r="BT5" i="3"/>
  <c r="BU6" i="3"/>
  <c r="BZ6" i="3" s="1"/>
  <c r="CH7" i="3"/>
  <c r="K14" i="6" s="1"/>
  <c r="BW8" i="3"/>
  <c r="CA8" i="3" s="1"/>
  <c r="AD9" i="3"/>
  <c r="AF9" i="3" s="1"/>
  <c r="AH9" i="3" s="1"/>
  <c r="AJ9" i="3" s="1"/>
  <c r="AL9" i="3" s="1"/>
  <c r="AN9" i="3" s="1"/>
  <c r="BX10" i="3"/>
  <c r="CA10" i="3" s="1"/>
  <c r="BV10" i="3"/>
  <c r="BZ10" i="3" s="1"/>
  <c r="BT10" i="3"/>
  <c r="AT10" i="3"/>
  <c r="AV10" i="3" s="1"/>
  <c r="AX10" i="3" s="1"/>
  <c r="BA10" i="3" s="1"/>
  <c r="AD11" i="3"/>
  <c r="AC13" i="3"/>
  <c r="BJ13" i="3"/>
  <c r="AT14" i="3"/>
  <c r="AV14" i="3" s="1"/>
  <c r="AX14" i="3" s="1"/>
  <c r="F11" i="2" s="1"/>
  <c r="AS15" i="3"/>
  <c r="AU15" i="3" s="1"/>
  <c r="AW15" i="3" s="1"/>
  <c r="CB15" i="3"/>
  <c r="AZ15" i="3" s="1"/>
  <c r="CE15" i="3" s="1"/>
  <c r="F15" i="6" s="1"/>
  <c r="BU15" i="3"/>
  <c r="BZ15" i="3" s="1"/>
  <c r="BN16" i="3"/>
  <c r="CC17" i="3"/>
  <c r="AD18" i="3"/>
  <c r="AF18" i="3" s="1"/>
  <c r="AH18" i="3" s="1"/>
  <c r="AJ18" i="3" s="1"/>
  <c r="AL18" i="3" s="1"/>
  <c r="AN18" i="3" s="1"/>
  <c r="BL18" i="3"/>
  <c r="BF19" i="3"/>
  <c r="BW20" i="3"/>
  <c r="AS22" i="3"/>
  <c r="AU22" i="3" s="1"/>
  <c r="AW22" i="3" s="1"/>
  <c r="AF19" i="3"/>
  <c r="AH19" i="3" s="1"/>
  <c r="AJ19" i="3" s="1"/>
  <c r="AL19" i="3" s="1"/>
  <c r="BL19" i="3"/>
  <c r="CF19" i="3" s="1"/>
  <c r="CG19" i="3" s="1"/>
  <c r="H20" i="6" s="1"/>
  <c r="AE20" i="3"/>
  <c r="AG20" i="3" s="1"/>
  <c r="AI20" i="3" s="1"/>
  <c r="AK20" i="3" s="1"/>
  <c r="AM20" i="3" s="1"/>
  <c r="G7" i="2"/>
  <c r="BU9" i="3"/>
  <c r="BS9" i="3"/>
  <c r="BY9" i="3" s="1"/>
  <c r="BL9" i="3"/>
  <c r="CF9" i="3" s="1"/>
  <c r="CG9" i="3" s="1"/>
  <c r="H9" i="6" s="1"/>
  <c r="E6" i="2"/>
  <c r="J7" i="2"/>
  <c r="I14" i="2"/>
  <c r="BW7" i="3"/>
  <c r="CA7" i="3" s="1"/>
  <c r="BL8" i="3"/>
  <c r="CF8" i="3" s="1"/>
  <c r="CG8" i="3" s="1"/>
  <c r="H8" i="6" s="1"/>
  <c r="BL10" i="3"/>
  <c r="AF10" i="3"/>
  <c r="AH10" i="3" s="1"/>
  <c r="AJ10" i="3" s="1"/>
  <c r="AL10" i="3" s="1"/>
  <c r="AD12" i="3"/>
  <c r="AF12" i="3" s="1"/>
  <c r="AH12" i="3" s="1"/>
  <c r="AJ12" i="3" s="1"/>
  <c r="AL12" i="3" s="1"/>
  <c r="AN12" i="3" s="1"/>
  <c r="BL12" i="3"/>
  <c r="BG19" i="3"/>
  <c r="AE19" i="3"/>
  <c r="AG19" i="3" s="1"/>
  <c r="AI19" i="3" s="1"/>
  <c r="AK19" i="3" s="1"/>
  <c r="AM19" i="3" s="1"/>
  <c r="BX20" i="3"/>
  <c r="G9" i="6"/>
  <c r="BL7" i="3"/>
  <c r="CF7" i="3" s="1"/>
  <c r="CG7" i="3" s="1"/>
  <c r="H14" i="6" s="1"/>
  <c r="CC8" i="3"/>
  <c r="AZ8" i="3" s="1"/>
  <c r="CE8" i="3" s="1"/>
  <c r="F8" i="6" s="1"/>
  <c r="BM8" i="3"/>
  <c r="BF9" i="3"/>
  <c r="AF11" i="3"/>
  <c r="AH11" i="3" s="1"/>
  <c r="AJ11" i="3" s="1"/>
  <c r="AL11" i="3" s="1"/>
  <c r="G12" i="6"/>
  <c r="CF12" i="3"/>
  <c r="CG12" i="3" s="1"/>
  <c r="H12" i="6" s="1"/>
  <c r="BG13" i="3"/>
  <c r="AS13" i="3"/>
  <c r="AU13" i="3" s="1"/>
  <c r="AW13" i="3" s="1"/>
  <c r="BG15" i="3"/>
  <c r="CB16" i="3"/>
  <c r="AZ16" i="3" s="1"/>
  <c r="CE16" i="3" s="1"/>
  <c r="F16" i="6" s="1"/>
  <c r="AG17" i="3"/>
  <c r="AI17" i="3" s="1"/>
  <c r="AK17" i="3" s="1"/>
  <c r="AM17" i="3" s="1"/>
  <c r="AE17" i="3"/>
  <c r="BF18" i="3"/>
  <c r="BZ18" i="3"/>
  <c r="BW19" i="3"/>
  <c r="CA19" i="3" s="1"/>
  <c r="AS9" i="3"/>
  <c r="AU9" i="3" s="1"/>
  <c r="AW9" i="3" s="1"/>
  <c r="F6" i="2"/>
  <c r="E10" i="2"/>
  <c r="BV5" i="3"/>
  <c r="BZ5" i="3" s="1"/>
  <c r="F10" i="2"/>
  <c r="AD8" i="3"/>
  <c r="AF8" i="3" s="1"/>
  <c r="AH8" i="3" s="1"/>
  <c r="AJ8" i="3" s="1"/>
  <c r="AL8" i="3" s="1"/>
  <c r="AN8" i="3" s="1"/>
  <c r="BG9" i="3"/>
  <c r="BF10" i="3"/>
  <c r="AG11" i="3"/>
  <c r="AI11" i="3" s="1"/>
  <c r="AK11" i="3" s="1"/>
  <c r="AM11" i="3" s="1"/>
  <c r="BF12" i="3"/>
  <c r="BT17" i="3"/>
  <c r="CC22" i="3"/>
  <c r="BM20" i="3"/>
  <c r="E14" i="2"/>
  <c r="G6" i="2"/>
  <c r="H6" i="2"/>
  <c r="BV9" i="3"/>
  <c r="BG10" i="3"/>
  <c r="BY12" i="3"/>
  <c r="BW15" i="3"/>
  <c r="AD16" i="3"/>
  <c r="AF16" i="3" s="1"/>
  <c r="AH16" i="3" s="1"/>
  <c r="AJ16" i="3" s="1"/>
  <c r="AL16" i="3" s="1"/>
  <c r="AN16" i="3" s="1"/>
  <c r="BL16" i="3"/>
  <c r="CF16" i="3" s="1"/>
  <c r="CG16" i="3" s="1"/>
  <c r="H16" i="6" s="1"/>
  <c r="BS16" i="3"/>
  <c r="BY16" i="3" s="1"/>
  <c r="BG17" i="3"/>
  <c r="BU17" i="3"/>
  <c r="BZ17" i="3" s="1"/>
  <c r="CA18" i="3"/>
  <c r="BN20" i="3"/>
  <c r="CH21" i="3"/>
  <c r="K22" i="6" s="1"/>
  <c r="BW21" i="3"/>
  <c r="CA21" i="3" s="1"/>
  <c r="BU21" i="3"/>
  <c r="BZ21" i="3" s="1"/>
  <c r="BS21" i="3"/>
  <c r="AS21" i="3"/>
  <c r="AU21" i="3" s="1"/>
  <c r="AW21" i="3" s="1"/>
  <c r="CB21" i="3"/>
  <c r="G17" i="6"/>
  <c r="CF18" i="3"/>
  <c r="CG18" i="3" s="1"/>
  <c r="H19" i="6" s="1"/>
  <c r="G19" i="6"/>
  <c r="I6" i="2"/>
  <c r="BW9" i="3"/>
  <c r="CA9" i="3" s="1"/>
  <c r="CF10" i="3"/>
  <c r="CG10" i="3" s="1"/>
  <c r="H10" i="6" s="1"/>
  <c r="G10" i="6"/>
  <c r="G11" i="6"/>
  <c r="CF11" i="3"/>
  <c r="CG11" i="3" s="1"/>
  <c r="H11" i="6" s="1"/>
  <c r="AS12" i="3"/>
  <c r="AU12" i="3" s="1"/>
  <c r="AW12" i="3" s="1"/>
  <c r="CE13" i="3"/>
  <c r="F13" i="6" s="1"/>
  <c r="AG16" i="3"/>
  <c r="AI16" i="3" s="1"/>
  <c r="AK16" i="3" s="1"/>
  <c r="AM16" i="3" s="1"/>
  <c r="AE16" i="3"/>
  <c r="BF17" i="3"/>
  <c r="BV17" i="3"/>
  <c r="BG18" i="3"/>
  <c r="CE18" i="3"/>
  <c r="F19" i="6" s="1"/>
  <c r="CH19" i="3"/>
  <c r="K20" i="6" s="1"/>
  <c r="CF20" i="3"/>
  <c r="CG20" i="3" s="1"/>
  <c r="H21" i="6" s="1"/>
  <c r="BV21" i="3"/>
  <c r="BT21" i="3"/>
  <c r="AT21" i="3"/>
  <c r="AV21" i="3" s="1"/>
  <c r="AX21" i="3" s="1"/>
  <c r="CC21" i="3"/>
  <c r="AE21" i="3"/>
  <c r="AG21" i="3" s="1"/>
  <c r="AI21" i="3" s="1"/>
  <c r="AK21" i="3" s="1"/>
  <c r="AM21" i="3" s="1"/>
  <c r="CF21" i="3"/>
  <c r="CG21" i="3" s="1"/>
  <c r="H22" i="6" s="1"/>
  <c r="CB10" i="3"/>
  <c r="AZ10" i="3" s="1"/>
  <c r="CE10" i="3" s="1"/>
  <c r="F10" i="6" s="1"/>
  <c r="AS11" i="3"/>
  <c r="AU11" i="3" s="1"/>
  <c r="AW11" i="3" s="1"/>
  <c r="CC11" i="3"/>
  <c r="AZ11" i="3" s="1"/>
  <c r="CE11" i="3" s="1"/>
  <c r="F11" i="6" s="1"/>
  <c r="AT12" i="3"/>
  <c r="AV12" i="3" s="1"/>
  <c r="AX12" i="3" s="1"/>
  <c r="BS13" i="3"/>
  <c r="BY13" i="3" s="1"/>
  <c r="BT14" i="3"/>
  <c r="BY14" i="3" s="1"/>
  <c r="BI14" i="3" s="1"/>
  <c r="CH16" i="3"/>
  <c r="K16" i="6" s="1"/>
  <c r="CB22" i="3"/>
  <c r="AZ22" i="3" s="1"/>
  <c r="CE22" i="3" s="1"/>
  <c r="F23" i="6" s="1"/>
  <c r="BS11" i="3"/>
  <c r="BT12" i="3"/>
  <c r="BU13" i="3"/>
  <c r="BZ13" i="3" s="1"/>
  <c r="CH14" i="3"/>
  <c r="K17" i="6" s="1"/>
  <c r="BS10" i="3"/>
  <c r="BY10" i="3" s="1"/>
  <c r="BT11" i="3"/>
  <c r="BU12" i="3"/>
  <c r="BZ12" i="3" s="1"/>
  <c r="BV13" i="3"/>
  <c r="CH13" i="3"/>
  <c r="K13" i="6" s="1"/>
  <c r="BW14" i="3"/>
  <c r="CA14" i="3" s="1"/>
  <c r="BX15" i="3"/>
  <c r="BM16" i="3"/>
  <c r="BS22" i="3"/>
  <c r="BY22" i="3" s="1"/>
  <c r="BI22" i="3" s="1"/>
  <c r="G21" i="6"/>
  <c r="G22" i="6"/>
  <c r="BU11" i="3"/>
  <c r="BZ11" i="3" s="1"/>
  <c r="BV12" i="3"/>
  <c r="BW13" i="3"/>
  <c r="CA13" i="3" s="1"/>
  <c r="CB18" i="3"/>
  <c r="AZ18" i="3" s="1"/>
  <c r="CC19" i="3"/>
  <c r="BM14" i="3"/>
  <c r="H14" i="2" s="1"/>
  <c r="BW11" i="3"/>
  <c r="CA11" i="3" s="1"/>
  <c r="BX12" i="3"/>
  <c r="CA12" i="3" s="1"/>
  <c r="BA7" i="3" l="1"/>
  <c r="AP16" i="3"/>
  <c r="AR16" i="3" s="1"/>
  <c r="AO16" i="3"/>
  <c r="AQ16" i="3" s="1"/>
  <c r="E14" i="6"/>
  <c r="BO7" i="3"/>
  <c r="CD7" i="3"/>
  <c r="D14" i="6" s="1"/>
  <c r="E7" i="6"/>
  <c r="BO6" i="3"/>
  <c r="BP6" i="3" s="1"/>
  <c r="CD6" i="3"/>
  <c r="D7" i="6" s="1"/>
  <c r="E8" i="6"/>
  <c r="BO8" i="3"/>
  <c r="CD8" i="3"/>
  <c r="D8" i="6" s="1"/>
  <c r="AP18" i="3"/>
  <c r="AR18" i="3" s="1"/>
  <c r="AO18" i="3"/>
  <c r="AQ18" i="3" s="1"/>
  <c r="BB10" i="3"/>
  <c r="BD10" i="3"/>
  <c r="BC10" i="3"/>
  <c r="J10" i="6" s="1"/>
  <c r="AP8" i="3"/>
  <c r="AR8" i="3" s="1"/>
  <c r="AO8" i="3"/>
  <c r="AQ8" i="3" s="1"/>
  <c r="AO9" i="3"/>
  <c r="AQ9" i="3" s="1"/>
  <c r="AP9" i="3"/>
  <c r="AR9" i="3" s="1"/>
  <c r="BA16" i="3"/>
  <c r="AP15" i="3"/>
  <c r="AR15" i="3" s="1"/>
  <c r="AO15" i="3"/>
  <c r="AQ15" i="3" s="1"/>
  <c r="AO6" i="3"/>
  <c r="AQ6" i="3" s="1"/>
  <c r="AP6" i="3"/>
  <c r="AR6" i="3" s="1"/>
  <c r="BO14" i="3"/>
  <c r="E17" i="6"/>
  <c r="J11" i="2"/>
  <c r="AO5" i="3"/>
  <c r="AQ5" i="3" s="1"/>
  <c r="AP5" i="3"/>
  <c r="AR5" i="3" s="1"/>
  <c r="AP12" i="3"/>
  <c r="AR12" i="3" s="1"/>
  <c r="AO12" i="3"/>
  <c r="AQ12" i="3" s="1"/>
  <c r="BA18" i="3"/>
  <c r="AP17" i="3"/>
  <c r="AR17" i="3" s="1"/>
  <c r="AO17" i="3"/>
  <c r="AQ17" i="3" s="1"/>
  <c r="E23" i="6"/>
  <c r="BO22" i="3"/>
  <c r="BY11" i="3"/>
  <c r="BI11" i="3" s="1"/>
  <c r="CA15" i="3"/>
  <c r="BI15" i="3" s="1"/>
  <c r="AN10" i="3"/>
  <c r="BZ9" i="3"/>
  <c r="CA20" i="3"/>
  <c r="AE13" i="3"/>
  <c r="AT13" i="3"/>
  <c r="AV13" i="3" s="1"/>
  <c r="AX13" i="3" s="1"/>
  <c r="AG13" i="3"/>
  <c r="AI13" i="3" s="1"/>
  <c r="AK13" i="3" s="1"/>
  <c r="AM13" i="3" s="1"/>
  <c r="AN20" i="3"/>
  <c r="CD19" i="3"/>
  <c r="D20" i="6" s="1"/>
  <c r="AZ20" i="3"/>
  <c r="CE20" i="3" s="1"/>
  <c r="F21" i="6" s="1"/>
  <c r="BI12" i="3"/>
  <c r="BI18" i="3"/>
  <c r="AZ19" i="3"/>
  <c r="CE19" i="3" s="1"/>
  <c r="F20" i="6" s="1"/>
  <c r="BY20" i="3"/>
  <c r="BI20" i="3" s="1"/>
  <c r="BI10" i="3"/>
  <c r="CD10" i="3" s="1"/>
  <c r="D10" i="6" s="1"/>
  <c r="AZ21" i="3"/>
  <c r="CE21" i="3" s="1"/>
  <c r="F22" i="6" s="1"/>
  <c r="BA12" i="3"/>
  <c r="CF14" i="3"/>
  <c r="AN19" i="3"/>
  <c r="BA14" i="3"/>
  <c r="BA19" i="3"/>
  <c r="BZ20" i="3"/>
  <c r="BA8" i="3"/>
  <c r="AP14" i="3"/>
  <c r="AR14" i="3" s="1"/>
  <c r="AO14" i="3"/>
  <c r="AQ14" i="3" s="1"/>
  <c r="BI19" i="3"/>
  <c r="BI13" i="3"/>
  <c r="CD13" i="3" s="1"/>
  <c r="D13" i="6" s="1"/>
  <c r="CD12" i="3"/>
  <c r="D12" i="6" s="1"/>
  <c r="AD13" i="3"/>
  <c r="AF13" i="3" s="1"/>
  <c r="AH13" i="3" s="1"/>
  <c r="AJ13" i="3" s="1"/>
  <c r="AL13" i="3" s="1"/>
  <c r="AN13" i="3" s="1"/>
  <c r="BL13" i="3"/>
  <c r="BY5" i="3"/>
  <c r="BI5" i="3" s="1"/>
  <c r="BA9" i="3"/>
  <c r="AZ17" i="3"/>
  <c r="CE17" i="3" s="1"/>
  <c r="F18" i="6" s="1"/>
  <c r="BI16" i="3"/>
  <c r="BA17" i="3"/>
  <c r="AN7" i="3"/>
  <c r="BA6" i="3"/>
  <c r="BY17" i="3"/>
  <c r="BI17" i="3" s="1"/>
  <c r="CD17" i="3" s="1"/>
  <c r="D18" i="6" s="1"/>
  <c r="AN22" i="3"/>
  <c r="BA11" i="3"/>
  <c r="BA21" i="3"/>
  <c r="AN11" i="3"/>
  <c r="BA15" i="3"/>
  <c r="BA22" i="3"/>
  <c r="BA5" i="3"/>
  <c r="AN21" i="3"/>
  <c r="BY21" i="3"/>
  <c r="BI21" i="3" s="1"/>
  <c r="CD18" i="3"/>
  <c r="D19" i="6" s="1"/>
  <c r="BI9" i="3"/>
  <c r="G13" i="6"/>
  <c r="CF13" i="3"/>
  <c r="CG13" i="3" s="1"/>
  <c r="H13" i="6" s="1"/>
  <c r="BH22" i="3"/>
  <c r="CD22" i="3"/>
  <c r="D23" i="6" s="1"/>
  <c r="BP22" i="3"/>
  <c r="BZ16" i="3"/>
  <c r="I7" i="6"/>
  <c r="BE6" i="3"/>
  <c r="AP13" i="3" l="1"/>
  <c r="AR13" i="3" s="1"/>
  <c r="AO13" i="3"/>
  <c r="AQ13" i="3" s="1"/>
  <c r="BA13" i="3"/>
  <c r="BO15" i="3"/>
  <c r="E15" i="6"/>
  <c r="CD15" i="3"/>
  <c r="D15" i="6" s="1"/>
  <c r="BD15" i="3"/>
  <c r="BC15" i="3"/>
  <c r="J15" i="6" s="1"/>
  <c r="BB15" i="3"/>
  <c r="BO16" i="3"/>
  <c r="E16" i="6"/>
  <c r="CD16" i="3"/>
  <c r="D16" i="6" s="1"/>
  <c r="AP20" i="3"/>
  <c r="AR20" i="3" s="1"/>
  <c r="AO20" i="3"/>
  <c r="AQ20" i="3" s="1"/>
  <c r="BD5" i="3"/>
  <c r="BC5" i="3"/>
  <c r="J6" i="6" s="1"/>
  <c r="BB5" i="3"/>
  <c r="BD19" i="3"/>
  <c r="BC19" i="3"/>
  <c r="J20" i="6" s="1"/>
  <c r="BB19" i="3"/>
  <c r="BB16" i="3"/>
  <c r="BD16" i="3"/>
  <c r="BC16" i="3"/>
  <c r="J16" i="6" s="1"/>
  <c r="BC22" i="3"/>
  <c r="J23" i="6" s="1"/>
  <c r="BB22" i="3"/>
  <c r="BD22" i="3"/>
  <c r="BC14" i="3"/>
  <c r="BB14" i="3"/>
  <c r="BD14" i="3"/>
  <c r="B10" i="2" s="1"/>
  <c r="E11" i="6"/>
  <c r="BO11" i="3"/>
  <c r="CD11" i="3"/>
  <c r="D11" i="6" s="1"/>
  <c r="BH8" i="3"/>
  <c r="BP8" i="3"/>
  <c r="AP7" i="3"/>
  <c r="AR7" i="3" s="1"/>
  <c r="AO7" i="3"/>
  <c r="AQ7" i="3" s="1"/>
  <c r="D14" i="2"/>
  <c r="CG14" i="3"/>
  <c r="BD21" i="3"/>
  <c r="BB21" i="3"/>
  <c r="BC21" i="3"/>
  <c r="J22" i="6" s="1"/>
  <c r="BO19" i="3"/>
  <c r="E20" i="6"/>
  <c r="BC17" i="3"/>
  <c r="J18" i="6" s="1"/>
  <c r="BB17" i="3"/>
  <c r="BD17" i="3"/>
  <c r="CD14" i="3"/>
  <c r="AO11" i="3"/>
  <c r="AQ11" i="3" s="1"/>
  <c r="AP11" i="3"/>
  <c r="AR11" i="3" s="1"/>
  <c r="BO13" i="3"/>
  <c r="E13" i="6"/>
  <c r="E21" i="6"/>
  <c r="BO20" i="3"/>
  <c r="BH7" i="3"/>
  <c r="BP7" i="3"/>
  <c r="AO19" i="3"/>
  <c r="AQ19" i="3" s="1"/>
  <c r="AP19" i="3"/>
  <c r="AR19" i="3" s="1"/>
  <c r="BO9" i="3"/>
  <c r="E9" i="6"/>
  <c r="CD9" i="3"/>
  <c r="D9" i="6" s="1"/>
  <c r="BD12" i="3"/>
  <c r="BC12" i="3"/>
  <c r="J12" i="6" s="1"/>
  <c r="BB12" i="3"/>
  <c r="BP14" i="3"/>
  <c r="BH14" i="3"/>
  <c r="BD9" i="3"/>
  <c r="BC9" i="3"/>
  <c r="J9" i="6" s="1"/>
  <c r="BB9" i="3"/>
  <c r="I10" i="6"/>
  <c r="BE10" i="3"/>
  <c r="BC11" i="3"/>
  <c r="J11" i="6" s="1"/>
  <c r="BB11" i="3"/>
  <c r="BD11" i="3"/>
  <c r="BO5" i="3"/>
  <c r="E6" i="6"/>
  <c r="CD5" i="3"/>
  <c r="D6" i="6" s="1"/>
  <c r="BA20" i="3"/>
  <c r="BB18" i="3"/>
  <c r="BD18" i="3"/>
  <c r="BC18" i="3"/>
  <c r="J19" i="6" s="1"/>
  <c r="CD20" i="3"/>
  <c r="D21" i="6" s="1"/>
  <c r="BO21" i="3"/>
  <c r="E22" i="6"/>
  <c r="CD21" i="3"/>
  <c r="D22" i="6" s="1"/>
  <c r="AP22" i="3"/>
  <c r="AR22" i="3" s="1"/>
  <c r="AO22" i="3"/>
  <c r="AQ22" i="3" s="1"/>
  <c r="BB8" i="3"/>
  <c r="BD8" i="3"/>
  <c r="BC8" i="3"/>
  <c r="J8" i="6" s="1"/>
  <c r="BO18" i="3"/>
  <c r="E19" i="6"/>
  <c r="BO10" i="3"/>
  <c r="E10" i="6"/>
  <c r="AP21" i="3"/>
  <c r="AR21" i="3" s="1"/>
  <c r="AO21" i="3"/>
  <c r="AQ21" i="3" s="1"/>
  <c r="BO17" i="3"/>
  <c r="E18" i="6"/>
  <c r="BO12" i="3"/>
  <c r="E12" i="6"/>
  <c r="AP10" i="3"/>
  <c r="AR10" i="3" s="1"/>
  <c r="AO10" i="3"/>
  <c r="AQ10" i="3" s="1"/>
  <c r="BB7" i="3"/>
  <c r="BD7" i="3"/>
  <c r="BC7" i="3"/>
  <c r="J14" i="6" s="1"/>
  <c r="BH10" i="3" l="1"/>
  <c r="BP10" i="3"/>
  <c r="BH17" i="3"/>
  <c r="BP17" i="3"/>
  <c r="I11" i="6"/>
  <c r="BE11" i="3"/>
  <c r="D17" i="6"/>
  <c r="J10" i="2"/>
  <c r="B12" i="2"/>
  <c r="BP21" i="3"/>
  <c r="BH21" i="3"/>
  <c r="BH9" i="3"/>
  <c r="BP9" i="3"/>
  <c r="BP16" i="3"/>
  <c r="BH16" i="3"/>
  <c r="BE17" i="3"/>
  <c r="I18" i="6"/>
  <c r="BE16" i="3"/>
  <c r="I16" i="6"/>
  <c r="BE15" i="3"/>
  <c r="I15" i="6"/>
  <c r="I20" i="6"/>
  <c r="BE19" i="3"/>
  <c r="BH11" i="3"/>
  <c r="BP11" i="3"/>
  <c r="I14" i="6"/>
  <c r="BE7" i="3"/>
  <c r="BP15" i="3"/>
  <c r="BH15" i="3"/>
  <c r="BP18" i="3"/>
  <c r="BH18" i="3"/>
  <c r="I19" i="6"/>
  <c r="BE18" i="3"/>
  <c r="BH19" i="3"/>
  <c r="BP19" i="3"/>
  <c r="BH20" i="3"/>
  <c r="BP20" i="3"/>
  <c r="I6" i="6"/>
  <c r="BE5" i="3"/>
  <c r="I12" i="6"/>
  <c r="BE12" i="3"/>
  <c r="J17" i="6"/>
  <c r="B9" i="2"/>
  <c r="G11" i="2" s="1"/>
  <c r="BD13" i="3"/>
  <c r="BB13" i="3"/>
  <c r="BC13" i="3"/>
  <c r="J13" i="6" s="1"/>
  <c r="I22" i="6"/>
  <c r="BE21" i="3"/>
  <c r="I17" i="6"/>
  <c r="BE14" i="3"/>
  <c r="B11" i="2" s="1"/>
  <c r="B8" i="2"/>
  <c r="G10" i="2" s="1"/>
  <c r="I8" i="6"/>
  <c r="BE8" i="3"/>
  <c r="BP12" i="3"/>
  <c r="BH12" i="3"/>
  <c r="BH5" i="3"/>
  <c r="BP5" i="3"/>
  <c r="BP13" i="3"/>
  <c r="BH13" i="3"/>
  <c r="H17" i="6"/>
  <c r="J14" i="2"/>
  <c r="I9" i="6"/>
  <c r="BE9" i="3"/>
  <c r="BD20" i="3"/>
  <c r="BB20" i="3"/>
  <c r="BC20" i="3"/>
  <c r="J21" i="6" s="1"/>
  <c r="I23" i="6"/>
  <c r="BE22" i="3"/>
  <c r="I21" i="6" l="1"/>
  <c r="BE20" i="3"/>
  <c r="I13" i="6"/>
  <c r="BE13" i="3"/>
</calcChain>
</file>

<file path=xl/sharedStrings.xml><?xml version="1.0" encoding="utf-8"?>
<sst xmlns="http://schemas.openxmlformats.org/spreadsheetml/2006/main" count="435" uniqueCount="252">
  <si>
    <t>FR / EN</t>
  </si>
  <si>
    <t>08/10/2026</t>
  </si>
  <si>
    <t>R14</t>
  </si>
  <si>
    <t>Ω</t>
  </si>
  <si>
    <t>V</t>
  </si>
  <si>
    <t>A</t>
  </si>
  <si>
    <t>nH</t>
  </si>
  <si>
    <t>kHz</t>
  </si>
  <si>
    <t>°</t>
  </si>
  <si>
    <t>dB</t>
  </si>
  <si>
    <t>pF</t>
  </si>
  <si>
    <t>(C16) IXTQ74N20P/FQA36P15</t>
  </si>
  <si>
    <t>MOSFET</t>
  </si>
  <si>
    <t>Ciss pF</t>
  </si>
  <si>
    <t>Crss pF</t>
  </si>
  <si>
    <t>Qgd nC</t>
  </si>
  <si>
    <t>gm mod. S</t>
  </si>
  <si>
    <t>VGS @3.125A</t>
  </si>
  <si>
    <t>Q15 (N)</t>
  </si>
  <si>
    <t>Q15</t>
  </si>
  <si>
    <t>Q16 (P)</t>
  </si>
  <si>
    <t>Q16</t>
  </si>
  <si>
    <t>R15</t>
  </si>
  <si>
    <t>Qgd</t>
  </si>
  <si>
    <t>Qg</t>
  </si>
  <si>
    <t>gm</t>
  </si>
  <si>
    <t>Crss</t>
  </si>
  <si>
    <t>VGS</t>
  </si>
  <si>
    <t>Notes essai FR</t>
  </si>
  <si>
    <t>Test notes EN</t>
  </si>
  <si>
    <t>S1</t>
  </si>
  <si>
    <t>FQA46N15</t>
  </si>
  <si>
    <t>FQA36P15</t>
  </si>
  <si>
    <t>NON TESTÉ / NOT TESTED</t>
  </si>
  <si>
    <t>Configuration historique / défaut.</t>
  </si>
  <si>
    <t>Historical / default configuration.</t>
  </si>
  <si>
    <t>(S1) FQA46N15/FQA36P15</t>
  </si>
  <si>
    <t>S3</t>
  </si>
  <si>
    <t>IXTQ36N30P</t>
  </si>
  <si>
    <t>VALIDÉ / VALIDATED</t>
  </si>
  <si>
    <t>Test effectué sur PCB 3.0.4.</t>
  </si>
  <si>
    <t>Test performed on PCB 3.0.4.</t>
  </si>
  <si>
    <t>(S3) IXTQ36N30P/FQA36P15</t>
  </si>
  <si>
    <t>S4</t>
  </si>
  <si>
    <t>IXTQ36P15P</t>
  </si>
  <si>
    <t>Combinaison à valider sur Q17.</t>
  </si>
  <si>
    <t>Combination to validate on Q17.</t>
  </si>
  <si>
    <t>(S4) IXTQ36N30P/IXTQ36P15P</t>
  </si>
  <si>
    <t>S5</t>
  </si>
  <si>
    <t>TESTÉ – À ÉVALUER / TESTED – TO REVIEW</t>
  </si>
  <si>
    <t>(S5) FQA46N15/IXTQ36P15P</t>
  </si>
  <si>
    <t>C1</t>
  </si>
  <si>
    <t>IXTQ50N20P</t>
  </si>
  <si>
    <t>(C1) IXTQ50N20P/IXTQ36P15P</t>
  </si>
  <si>
    <t>C3</t>
  </si>
  <si>
    <t>(C3) IXTQ50N20P/FQA36P15</t>
  </si>
  <si>
    <t>C5</t>
  </si>
  <si>
    <t>IXTQ26P20P</t>
  </si>
  <si>
    <t>(C5) FQA46N15/IXTQ26P20P</t>
  </si>
  <si>
    <t>C6</t>
  </si>
  <si>
    <t>(C6) IXTQ36N30P/IXTQ26P20P</t>
  </si>
  <si>
    <t>C7</t>
  </si>
  <si>
    <t>(C7) IXTQ50N20P/IXTQ26P20P</t>
  </si>
  <si>
    <t>C16</t>
  </si>
  <si>
    <t>IXTQ74N20P</t>
  </si>
  <si>
    <t>C17</t>
  </si>
  <si>
    <t>(C17) IXTQ74N20P/IXTQ36P15P</t>
  </si>
  <si>
    <t>C19</t>
  </si>
  <si>
    <t>REJETÉ / REJECTED</t>
  </si>
  <si>
    <t>(C19) IXTQ74N20P/IXTQ26P20P</t>
  </si>
  <si>
    <t>C20</t>
  </si>
  <si>
    <t>FDA38N30</t>
  </si>
  <si>
    <t>(C20) FDA38N30/FQA36P15</t>
  </si>
  <si>
    <t>C21</t>
  </si>
  <si>
    <t>(C21) FDA38N30/IXTQ36P15P</t>
  </si>
  <si>
    <t>C22</t>
  </si>
  <si>
    <t>(C22) FDA38N30/IXTQ26P20P</t>
  </si>
  <si>
    <t>C23</t>
  </si>
  <si>
    <t>STW46NF30</t>
  </si>
  <si>
    <t>(C23) STW46NF30/FQA36P15</t>
  </si>
  <si>
    <t>C24</t>
  </si>
  <si>
    <t>(C24) STW46NF30/IXTQ36P15P</t>
  </si>
  <si>
    <t>C25</t>
  </si>
  <si>
    <t>(C25) STW46NF30/IXTQ26P20P</t>
  </si>
  <si>
    <t>Q17-Mini — Aptitude MOSFET → Compatibilité Q15/Q16 → R14/R15 initiales</t>
  </si>
  <si>
    <t>1.1b2 : le classement principal recherche d’abord une paire intrinsèquement adaptée au current-dumping. R14/R15 n’interviennent qu’ensuite comme réglage secondaire et restent à valider à l’oscilloscope.</t>
  </si>
  <si>
    <t>Paire</t>
  </si>
  <si>
    <t>Statut essai Q17</t>
  </si>
  <si>
    <t>R14 testée</t>
  </si>
  <si>
    <t>R15 testée</t>
  </si>
  <si>
    <t>Note essai affichée</t>
  </si>
  <si>
    <t>Vdss N</t>
  </si>
  <si>
    <t>Vdss P</t>
  </si>
  <si>
    <t>Idmax N</t>
  </si>
  <si>
    <t>Idmax P</t>
  </si>
  <si>
    <t>Ciss N</t>
  </si>
  <si>
    <t>Ciss P</t>
  </si>
  <si>
    <t>Coss N</t>
  </si>
  <si>
    <t>Coss P</t>
  </si>
  <si>
    <t>Crss N</t>
  </si>
  <si>
    <t>Crss P</t>
  </si>
  <si>
    <t>gfs N</t>
  </si>
  <si>
    <t>gfs P</t>
  </si>
  <si>
    <t>Id@gfs N</t>
  </si>
  <si>
    <t>Id@gfs P</t>
  </si>
  <si>
    <t>Rg int N</t>
  </si>
  <si>
    <t>Rg int P</t>
  </si>
  <si>
    <t>Qg N</t>
  </si>
  <si>
    <t>Qg P</t>
  </si>
  <si>
    <t>VGS N</t>
  </si>
  <si>
    <t>VGS P</t>
  </si>
  <si>
    <t>gm N</t>
  </si>
  <si>
    <t>gm P</t>
  </si>
  <si>
    <t>f0 N MHz</t>
  </si>
  <si>
    <t>f0 P MHz</t>
  </si>
  <si>
    <t>Rneg N</t>
  </si>
  <si>
    <t>Rneg P</t>
  </si>
  <si>
    <t>Rmin N</t>
  </si>
  <si>
    <t>Rmin P</t>
  </si>
  <si>
    <t>E24 min N</t>
  </si>
  <si>
    <t>E24 min P</t>
  </si>
  <si>
    <t>fGate max N MHz</t>
  </si>
  <si>
    <t>fGate max P MHz</t>
  </si>
  <si>
    <t>f cible paire MHz</t>
  </si>
  <si>
    <t>R14 idéale</t>
  </si>
  <si>
    <t>R15 idéale</t>
  </si>
  <si>
    <t>R14 théorique E24</t>
  </si>
  <si>
    <t>R15 théorique E24</t>
  </si>
  <si>
    <t>Ceff N pF</t>
  </si>
  <si>
    <t>Ceff P pF</t>
  </si>
  <si>
    <t>Rmax N</t>
  </si>
  <si>
    <t>Rmax P</t>
  </si>
  <si>
    <t>E24 max N</t>
  </si>
  <si>
    <t>E24 max P</t>
  </si>
  <si>
    <t>R14 cible E24</t>
  </si>
  <si>
    <t>R15 cible E24</t>
  </si>
  <si>
    <t>Cible valide</t>
  </si>
  <si>
    <t>R14 initiale</t>
  </si>
  <si>
    <t>R15 initiale</t>
  </si>
  <si>
    <t>Origine</t>
  </si>
  <si>
    <t>Écart N/P Rgate (Ceff ref)</t>
  </si>
  <si>
    <t>Aptitude Q15</t>
  </si>
  <si>
    <t>Aptitude Q16</t>
  </si>
  <si>
    <t>Compatibilité Q17</t>
  </si>
  <si>
    <t>Score profil Ceff</t>
  </si>
  <si>
    <t>Sim. Qgd</t>
  </si>
  <si>
    <t>Sim. Qg</t>
  </si>
  <si>
    <t>Sim. gm</t>
  </si>
  <si>
    <t>Sim. Crss</t>
  </si>
  <si>
    <t>Sim. VGS</t>
  </si>
  <si>
    <t>Indice compatibilité paire</t>
  </si>
  <si>
    <t>Note paire</t>
  </si>
  <si>
    <t>Qgd N</t>
  </si>
  <si>
    <t>Qgd P</t>
  </si>
  <si>
    <t>Ceff N Av0</t>
  </si>
  <si>
    <t>Ceff P Av0</t>
  </si>
  <si>
    <t>Ceff N Av0.5</t>
  </si>
  <si>
    <t>Ceff P Av0.5</t>
  </si>
  <si>
    <t>Ceff N Av0.95</t>
  </si>
  <si>
    <t>Ceff P Av0.95</t>
  </si>
  <si>
    <t>Sim. Ceff Av0</t>
  </si>
  <si>
    <t>Sim. Ceff Av0.5</t>
  </si>
  <si>
    <t>Sim. Ceff Av0.95</t>
  </si>
  <si>
    <t>Ceff N Av ref</t>
  </si>
  <si>
    <t>Ceff P Av ref</t>
  </si>
  <si>
    <t>Classe théorique</t>
  </si>
  <si>
    <t>Équilibre Rgate</t>
  </si>
  <si>
    <t>Nb alertes</t>
  </si>
  <si>
    <t>Alertes</t>
  </si>
  <si>
    <t>Retour essai Q17</t>
  </si>
  <si>
    <t>Model</t>
  </si>
  <si>
    <t>Canal</t>
  </si>
  <si>
    <t>Fabricant</t>
  </si>
  <si>
    <t>Technologie</t>
  </si>
  <si>
    <t>Vdss |V| (V)</t>
  </si>
  <si>
    <t>Id max |I| (A)</t>
  </si>
  <si>
    <t>Ciss (pF)</t>
  </si>
  <si>
    <t>Coss (pF)</t>
  </si>
  <si>
    <t>Crss (pF)</t>
  </si>
  <si>
    <t>gfs ref (S)</t>
  </si>
  <si>
    <t>Id @ gfs (A)</t>
  </si>
  <si>
    <t>Rg interne (Ω)</t>
  </si>
  <si>
    <t>Qg (nC)</t>
  </si>
  <si>
    <t>Qgd (nC)</t>
  </si>
  <si>
    <t>Datasheet fabricant</t>
  </si>
  <si>
    <t>|VGS| @ 3.125 A (V)</t>
  </si>
  <si>
    <t>Remarque</t>
  </si>
  <si>
    <t>N</t>
  </si>
  <si>
    <t>onsemi</t>
  </si>
  <si>
    <t>Vertical</t>
  </si>
  <si>
    <t>https://www.onsemi.com/download/data-sheet/pdf/fqa46n15-d.pdf</t>
  </si>
  <si>
    <t>Valeurs typiques datasheet ; Rg interne non spécifiée.</t>
  </si>
  <si>
    <t>P</t>
  </si>
  <si>
    <t>https://www.onsemi.com/download/data-sheet/pdf/fqa36p15-d.pdf</t>
  </si>
  <si>
    <t>IXYS / Littelfuse</t>
  </si>
  <si>
    <t>https://www.littelfuse.com/assetdocs/littelfuse-discrete-mosfets-ixt-36n30p-datasheet?assetguid=bf954b1e-fc82-433f-b03c-f41721f34fc0</t>
  </si>
  <si>
    <t>Valeurs typiques datasheet.</t>
  </si>
  <si>
    <t>https://www.littelfuse.com/assetdocs/littelfuse-discrete-mosfets-ixt-36p15p-datasheet?assetguid=5c8451ac-89cf-436c-a647-4ce257cd7c86</t>
  </si>
  <si>
    <t>https://www.littelfuse.com/~/media/electronics/datasheets/discrete_mosfets/littelfuse_discrete_mosfets_n-channel_standard_ixt_50n20p_datasheet.pdf.pdf</t>
  </si>
  <si>
    <t>IXTQ52P10P</t>
  </si>
  <si>
    <t>https://www.littelfuse.com/assetdocs/littelfuse-discrete-mosfets-ixt-52p10p-datasheet?assetguid=b047fbe5-952b-40c8-bfa0-176e9733db4b</t>
  </si>
  <si>
    <t>Vdss 100 V : hors critère actuel.</t>
  </si>
  <si>
    <t>https://www.littelfuse.com/assetdocs/littelfuse-discrete-mosfets-ixt-26p20p-datasheet?assetguid=2195210b-d8e6-4e3f-b910-12b7e438e63a</t>
  </si>
  <si>
    <t>TO-3P, G-D-S. Valeurs catalogue Littelfuse actuelles.</t>
  </si>
  <si>
    <t>FDA69N25</t>
  </si>
  <si>
    <t>https://www.onsemi.com/download/data-sheet/pdf/fda69n25-d.pdf</t>
  </si>
  <si>
    <t>Ciss &gt; 3.5 nF : hors présélection actuelle.</t>
  </si>
  <si>
    <t>FDA59N30</t>
  </si>
  <si>
    <t>https://www.onsemi.com/download/data-sheet/pdf/fda59n30-d.pdf</t>
  </si>
  <si>
    <t>https://www.littelfuse.com/assetdocs/littelfuse-discrete-mosfets-ixt-74n20p-datasheet?assetguid=93255c68-d823-4b52-8b2e-9e96bfc14fc0</t>
  </si>
  <si>
    <t>TO-3P, G-D-S. gfs mesuré à 0.5×ID25.</t>
  </si>
  <si>
    <t>UniFET / planar DMOS</t>
  </si>
  <si>
    <t>https://www.onsemi.com/download/data-sheet/pdf/fda38n30-d.pdf</t>
  </si>
  <si>
    <t>gfs = 34 S @ 19 A (datasheet). VGS @ 3.125 A ≈ 5.5 V estimated from the typical 25 °C transfer curve; internal Rg not specified.</t>
  </si>
  <si>
    <t>STMicroelectronics</t>
  </si>
  <si>
    <t>STripFET II</t>
  </si>
  <si>
    <t>https://www.st.com/resource/en/datasheet/stw46nf30.pdf</t>
  </si>
  <si>
    <t>gfs ≈ 55 S @ ~34 A and VGS @ 3.125 A ≈ 4.0 V estimated from the typical transfer curve; ST does not tabulate gfs; internal Rg not specified.</t>
  </si>
  <si>
    <t>E24 (Ω)</t>
  </si>
  <si>
    <t>E24 suivante</t>
  </si>
  <si>
    <t>Ceff</t>
  </si>
  <si>
    <t>Ceff(Av) = Crss + (Ciss − Crss) × (1 − Av)</t>
  </si>
  <si>
    <t>1</t>
  </si>
  <si>
    <t>gm ≈ gfs_ref × √(Id_calc / Id_gfs)</t>
  </si>
  <si>
    <t>2</t>
  </si>
  <si>
    <t>f0 = (1/2π) × √[(1 + gm·RL)/(Lloop·Ciss)]</t>
  </si>
  <si>
    <t>3</t>
  </si>
  <si>
    <t>Rneg ≈ [gm·Coss·RL²/Ciss] / [1 + (2πf0·Coss·RL)²]</t>
  </si>
  <si>
    <t>4</t>
  </si>
  <si>
    <t>5</t>
  </si>
  <si>
    <t>Ceff ≈ Crss + (Ciss−Crss)/(1+gm·RL)</t>
  </si>
  <si>
    <t>6</t>
  </si>
  <si>
    <t>7</t>
  </si>
  <si>
    <t>AN-1645 — LM4702 Driving a MOSFET Output Stage</t>
  </si>
  <si>
    <t>Texas Instruments</t>
  </si>
  <si>
    <t>https://www.ti.com/lit/an/snaa045a/snaa045a.pdf</t>
  </si>
  <si>
    <t>Current Dumping Audio Amplifier</t>
  </si>
  <si>
    <t>P. J. Walker, Wireless World, Dec. 1975</t>
  </si>
  <si>
    <t>https://worldradiohistory.com/UK/Wireless-World/70s/Wireless-World-1975-12.pdf</t>
  </si>
  <si>
    <t>onsemi / Littelfuse / IXYS</t>
  </si>
  <si>
    <t>1.1b1</t>
  </si>
  <si>
    <t>Profil Ceff</t>
  </si>
  <si>
    <t>30 %</t>
  </si>
  <si>
    <t>20 %</t>
  </si>
  <si>
    <t>15 %</t>
  </si>
  <si>
    <t>Approximation basée sur données typiques fabricant.</t>
  </si>
  <si>
    <t>10 %</t>
  </si>
  <si>
    <t>1.1b2</t>
  </si>
  <si>
    <t>1.1b6</t>
  </si>
  <si>
    <t>1.1b11</t>
  </si>
  <si>
    <t>1.1b35</t>
  </si>
  <si>
    <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</si>
</sst>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
  </numFmts>
  <fonts count="29">
    <font>
      <sz val="11"/>
      <name val="Carlito"/>
    </font>
    <font>
      <b/>
      <sz val="14"/>
      <color rgb="FFFFFFFF"/>
      <name val="Carlito"/>
    </font>
    <font>
      <i/>
      <sz val="11"/>
      <color rgb="FF595959"/>
      <name val="Carlito"/>
    </font>
    <font>
      <b/>
      <sz val="11"/>
      <color rgb="FFFFFFFF"/>
      <name val="Carlito"/>
    </font>
    <font>
      <b/>
      <sz val="11"/>
      <name val="Carlito"/>
    </font>
    <font>
      <b/>
      <sz val="11"/>
      <color rgb="FF17365D"/>
      <name val="Carlito"/>
    </font>
    <font>
      <b/>
      <sz val="10.5"/>
      <color rgb="FF1F1F1F"/>
      <name val="Aptos"/>
    </font>
    <font>
      <sz val="10.5"/>
      <color rgb="FF1F1F1F"/>
      <name val="Aptos"/>
    </font>
    <font>
      <b/>
      <sz val="16"/>
      <color rgb="FFFFFFFF"/>
      <name val="Aptos Display"/>
    </font>
    <font>
      <i/>
      <sz val="10"/>
      <color rgb="FF666666"/>
      <name val="Aptos"/>
    </font>
    <font>
      <b/>
      <sz val="10.5"/>
      <color rgb="FF1F4E78"/>
      <name val="Aptos"/>
    </font>
    <font>
      <b/>
      <sz val="11.5"/>
      <color rgb="FF1F4E78"/>
      <name val="Aptos"/>
    </font>
    <font>
      <b/>
      <sz val="10.5"/>
      <color rgb="FFFFFFFF"/>
      <name val="Aptos"/>
    </font>
    <font>
      <b/>
      <sz val="12"/>
      <color rgb="FF1F1F1F"/>
      <name val="Aptos"/>
    </font>
    <font>
      <b/>
      <sz val="10.5"/>
      <color rgb="FF548235"/>
      <name val="Aptos"/>
    </font>
    <font>
      <b/>
      <sz val="10"/>
      <color rgb="FF1F4E78"/>
      <name val="Aptos"/>
    </font>
    <font>
      <b/>
      <sz val="10"/>
      <color rgb="FFFFFFFF"/>
      <name val="Aptos"/>
    </font>
    <font>
      <sz val="10"/>
      <color rgb="FF1F1F1F"/>
      <name val="Aptos"/>
    </font>
    <font>
      <sz val="9.5"/>
      <color rgb="FF1F1F1F"/>
      <name val="Aptos"/>
    </font>
    <font>
      <b/>
      <sz val="9.5"/>
      <color rgb="FF1F1F1F"/>
      <name val="Aptos"/>
    </font>
    <font>
      <i/>
      <sz val="9.5"/>
      <color rgb="FF666666"/>
      <name val="Aptos"/>
    </font>
    <font>
      <b/>
      <sz val="14"/>
      <color rgb="FFFFFFFF"/>
      <name val="Aptos Display"/>
    </font>
    <font>
      <sz val="9.5"/>
      <color rgb="FF666666"/>
      <name val="Aptos"/>
    </font>
    <font>
      <sz val="9.5"/>
      <color rgb="FF1F1F1F"/>
      <name val="Aptos"/>
    </font>
    <font>
      <b/>
      <sz val="9.5"/>
      <color rgb="FF666666"/>
      <name val="Aptos"/>
    </font>
    <font>
      <sz val="9.5"/>
      <color rgb="FF666666"/>
      <name val="Aptos"/>
    </font>
    <font>
      <sz val="9.5"/>
      <color rgb="FFFFFFFF"/>
      <name val="Aptos"/>
    </font>
    <font>
      <b/>
      <sz val="10.5"/>
      <color rgb="FF1F1F1F"/>
      <name val="Aptos"/>
    </font>
    <font>
      <sz val="1"/>
      <color rgb="FFFFFFFF"/>
      <name val="Aptos"/>
    </font>
  </fonts>
  <fills count="37">
    <fill>
      <patternFill patternType="none"/>
    </fill>
    <fill>
      <patternFill patternType="gray125"/>
    </fill>
    <fill>
      <patternFill patternType="solid">
        <fgColor rgb="FF1F4E78"/>
      </patternFill>
    </fill>
    <fill>
      <patternFill patternType="solid">
        <fgColor rgb="FFF2F2F2"/>
      </patternFill>
    </fill>
    <fill>
      <patternFill patternType="solid">
        <fgColor rgb="FF5B9BD5"/>
      </patternFill>
    </fill>
    <fill>
      <patternFill patternType="solid">
        <fgColor rgb="FFFFF2CC"/>
      </patternFill>
    </fill>
    <fill>
      <patternFill patternType="solid">
        <fgColor rgb="FFD9EAF7"/>
      </patternFill>
    </fill>
    <fill>
      <patternFill patternType="solid">
        <fgColor rgb="FFD9EAF7"/>
      </patternFill>
    </fill>
    <fill>
      <patternFill patternType="solid">
        <fgColor rgb="FFFFF2CC"/>
      </patternFill>
    </fill>
    <fill>
      <patternFill patternType="solid">
        <fgColor rgb="FF5B9BD5"/>
      </patternFill>
    </fill>
    <fill>
      <patternFill patternType="solid">
        <fgColor rgb="FFD9EAF7"/>
      </patternFill>
    </fill>
    <fill>
      <patternFill patternType="solid">
        <fgColor rgb="FFFFF2CC"/>
      </patternFill>
    </fill>
    <fill>
      <patternFill patternType="solid">
        <fgColor rgb="FF5B9BD5"/>
      </patternFill>
    </fill>
    <fill>
      <patternFill patternType="solid">
        <fgColor rgb="FF1F4E78"/>
      </patternFill>
    </fill>
    <fill>
      <patternFill patternType="solid">
        <fgColor rgb="FFF2F2F2"/>
      </patternFill>
    </fill>
    <fill>
      <patternFill patternType="solid">
        <fgColor rgb="FFD9EAF7"/>
      </patternFill>
    </fill>
    <fill>
      <patternFill patternType="solid">
        <fgColor rgb="FFFFFFFF"/>
      </patternFill>
    </fill>
    <fill>
      <patternFill patternType="solid">
        <fgColor rgb="FF5B9BD5"/>
      </patternFill>
    </fill>
    <fill>
      <patternFill patternType="solid">
        <fgColor rgb="FFEAF2F8"/>
      </patternFill>
    </fill>
    <fill>
      <patternFill patternType="solid">
        <fgColor rgb="FFE2F0D9"/>
      </patternFill>
    </fill>
    <fill>
      <patternFill patternType="solid">
        <fgColor rgb="FFDDEBF7"/>
      </patternFill>
    </fill>
    <fill>
      <patternFill patternType="solid">
        <fgColor rgb="FF7F8FA6"/>
      </patternFill>
    </fill>
    <fill>
      <patternFill patternType="solid">
        <fgColor rgb="FFF8FAFC"/>
      </patternFill>
    </fill>
    <fill>
      <patternFill patternType="solid">
        <fgColor rgb="FF1F4E78"/>
      </patternFill>
    </fill>
    <fill>
      <patternFill patternType="solid">
        <fgColor rgb="FFD9EAF7"/>
      </patternFill>
    </fill>
    <fill>
      <patternFill patternType="solid">
        <fgColor rgb="FFFFF2CC"/>
      </patternFill>
    </fill>
    <fill>
      <patternFill patternType="solid">
        <fgColor rgb="FFFFFFFF"/>
      </patternFill>
    </fill>
    <fill>
      <patternFill patternType="solid">
        <fgColor rgb="FFFFF2CC"/>
      </patternFill>
    </fill>
    <fill>
      <patternFill patternType="solid">
        <fgColor rgb="FF5B9BD5"/>
      </patternFill>
    </fill>
    <fill>
      <patternFill patternType="solid">
        <fgColor rgb="FFFFF2CC"/>
      </patternFill>
    </fill>
    <fill>
      <patternFill patternType="solid">
        <fgColor rgb="FFFFFFFF"/>
      </patternFill>
    </fill>
    <fill>
      <patternFill patternType="solid">
        <fgColor rgb="FFF2F2F2"/>
      </patternFill>
    </fill>
    <fill>
      <patternFill patternType="solid">
        <fgColor rgb="FFF8FAFC"/>
      </patternFill>
    </fill>
    <fill>
      <patternFill patternType="solid">
        <fgColor rgb="FFFFFFFF"/>
      </patternFill>
    </fill>
    <fill>
      <patternFill patternType="solid">
        <fgColor rgb="FFFFF2CC"/>
      </patternFill>
    </fill>
    <fill>
      <patternFill patternType="solid">
        <fgColor rgb="FFFFFFFF"/>
      </patternFill>
    </fill>
    <fill>
      <patternFill patternType="solid">
        <fgColor rgb="FFFFF3CC"/>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8C4D0"/>
      </left>
      <right style="thin">
        <color rgb="FFB8C4D0"/>
      </right>
      <top style="thin">
        <color rgb="FFB8C4D0"/>
      </top>
      <bottom style="thin">
        <color rgb="FFB8C4D0"/>
      </bottom>
      <diagonal/>
    </border>
  </borders>
  <cellStyleXfs count="1">
    <xf numFmtId="0" fontId="0" fillId="0" borderId="0"/>
  </cellStyleXfs>
  <cellXfs count="113">
    <xf numFmtId="0" fontId="0" fillId="0" borderId="0" xfId="0"/>
    <xf numFmtId="0" fontId="3" fillId="4" borderId="0" xfId="0" applyFont="1" applyFill="1" applyAlignment="1">
      <alignment horizontal="center" vertical="center" wrapText="1"/>
    </xf>
    <xf numFmtId="0" fontId="0" fillId="0" borderId="0" xfId="0" applyAlignment="1">
      <alignment wrapText="1"/>
    </xf>
    <xf numFmtId="0" fontId="4" fillId="0" borderId="0" xfId="0" applyFont="1" applyAlignment="1">
      <alignment wrapText="1"/>
    </xf>
    <xf numFmtId="0" fontId="4" fillId="5" borderId="0" xfId="0" applyFont="1" applyFill="1" applyAlignment="1">
      <alignment wrapText="1"/>
    </xf>
    <xf numFmtId="10" fontId="4" fillId="5" borderId="0" xfId="0" applyNumberFormat="1" applyFont="1" applyFill="1" applyAlignment="1">
      <alignment wrapText="1"/>
    </xf>
    <xf numFmtId="0" fontId="5" fillId="6" borderId="0" xfId="0" applyFont="1" applyFill="1" applyAlignment="1">
      <alignment horizontal="left" vertical="center" wrapText="1"/>
    </xf>
    <xf numFmtId="10" fontId="0" fillId="0" borderId="0" xfId="0" applyNumberFormat="1"/>
    <xf numFmtId="2" fontId="0" fillId="0" borderId="0" xfId="0" applyNumberFormat="1"/>
    <xf numFmtId="2" fontId="0" fillId="0" borderId="0" xfId="0" applyNumberFormat="1" applyAlignment="1">
      <alignment wrapText="1"/>
    </xf>
    <xf numFmtId="164" fontId="0" fillId="0" borderId="0" xfId="0" applyNumberFormat="1" applyAlignment="1">
      <alignment wrapText="1"/>
    </xf>
    <xf numFmtId="10" fontId="0" fillId="0" borderId="0" xfId="0" applyNumberFormat="1" applyAlignment="1">
      <alignment wrapText="1"/>
    </xf>
    <xf numFmtId="0" fontId="5" fillId="7" borderId="0" xfId="0" applyFont="1" applyFill="1" applyAlignment="1">
      <alignment wrapText="1"/>
    </xf>
    <xf numFmtId="0" fontId="5" fillId="7" borderId="0" xfId="0" applyFont="1" applyFill="1" applyAlignment="1">
      <alignment horizontal="left" vertical="center" wrapText="1"/>
    </xf>
    <xf numFmtId="10" fontId="4" fillId="8" borderId="0" xfId="0" applyNumberFormat="1" applyFont="1" applyFill="1" applyAlignment="1">
      <alignment wrapText="1"/>
    </xf>
    <xf numFmtId="2" fontId="4" fillId="8" borderId="0" xfId="0" applyNumberFormat="1" applyFont="1" applyFill="1" applyAlignment="1">
      <alignment wrapText="1"/>
    </xf>
    <xf numFmtId="0" fontId="3" fillId="9" borderId="0" xfId="0" applyFont="1" applyFill="1" applyAlignment="1">
      <alignment horizontal="center" vertical="center" wrapText="1"/>
    </xf>
    <xf numFmtId="1" fontId="0" fillId="0" borderId="0" xfId="0" applyNumberFormat="1"/>
    <xf numFmtId="1" fontId="0" fillId="0" borderId="0" xfId="0" applyNumberFormat="1" applyAlignment="1">
      <alignment wrapText="1"/>
    </xf>
    <xf numFmtId="0" fontId="5" fillId="10" borderId="0" xfId="0" applyFont="1" applyFill="1" applyAlignment="1">
      <alignment horizontal="left"/>
    </xf>
    <xf numFmtId="10" fontId="4" fillId="11" borderId="0" xfId="0" applyNumberFormat="1" applyFont="1" applyFill="1"/>
    <xf numFmtId="0" fontId="3" fillId="12" borderId="0" xfId="0" applyFont="1" applyFill="1" applyAlignment="1">
      <alignment horizontal="center" vertical="center" wrapText="1"/>
    </xf>
    <xf numFmtId="0" fontId="7" fillId="0" borderId="0" xfId="0" applyFont="1" applyAlignment="1">
      <alignment vertical="center" wrapText="1"/>
    </xf>
    <xf numFmtId="0" fontId="18" fillId="16" borderId="1" xfId="0" applyFont="1" applyFill="1" applyBorder="1" applyAlignment="1">
      <alignment horizontal="left" vertical="center" wrapText="1"/>
    </xf>
    <xf numFmtId="0" fontId="18" fillId="22" borderId="1" xfId="0" applyFont="1" applyFill="1" applyBorder="1" applyAlignment="1">
      <alignment horizontal="left" vertical="center" wrapText="1"/>
    </xf>
    <xf numFmtId="0" fontId="7" fillId="16" borderId="5" xfId="0" applyFont="1" applyFill="1" applyBorder="1" applyAlignment="1">
      <alignment vertical="center" wrapText="1"/>
    </xf>
    <xf numFmtId="0" fontId="16" fillId="17" borderId="6" xfId="0" applyFont="1" applyFill="1" applyBorder="1" applyAlignment="1">
      <alignment horizontal="center" vertical="center" wrapText="1"/>
    </xf>
    <xf numFmtId="10" fontId="18" fillId="16" borderId="1" xfId="0" applyNumberFormat="1" applyFont="1" applyFill="1" applyBorder="1" applyAlignment="1">
      <alignment horizontal="center" vertical="center" wrapText="1"/>
    </xf>
    <xf numFmtId="10" fontId="18" fillId="22" borderId="1" xfId="0" applyNumberFormat="1" applyFont="1" applyFill="1" applyBorder="1" applyAlignment="1">
      <alignment horizontal="center" vertical="center" wrapText="1"/>
    </xf>
    <xf numFmtId="0" fontId="18" fillId="16" borderId="7" xfId="0" applyFont="1" applyFill="1" applyBorder="1" applyAlignment="1">
      <alignment horizontal="left" vertical="center" wrapText="1"/>
    </xf>
    <xf numFmtId="10" fontId="18" fillId="16" borderId="7" xfId="0" applyNumberFormat="1" applyFont="1" applyFill="1" applyBorder="1" applyAlignment="1">
      <alignment horizontal="center" vertical="center" wrapText="1"/>
    </xf>
    <xf numFmtId="0" fontId="18" fillId="22" borderId="7" xfId="0" applyFont="1" applyFill="1" applyBorder="1" applyAlignment="1">
      <alignment horizontal="left" vertical="center" wrapText="1"/>
    </xf>
    <xf numFmtId="10" fontId="18" fillId="22" borderId="7" xfId="0" applyNumberFormat="1" applyFont="1" applyFill="1" applyBorder="1" applyAlignment="1">
      <alignment horizontal="center" vertical="center" wrapText="1"/>
    </xf>
    <xf numFmtId="0" fontId="18" fillId="16" borderId="0" xfId="0" applyFont="1" applyFill="1" applyAlignment="1">
      <alignment horizontal="center" vertical="center" wrapText="1"/>
    </xf>
    <xf numFmtId="0" fontId="18" fillId="22" borderId="0" xfId="0" applyFont="1" applyFill="1" applyAlignment="1">
      <alignment horizontal="center" vertical="center" wrapText="1"/>
    </xf>
    <xf numFmtId="0" fontId="7" fillId="16" borderId="5" xfId="0" applyFont="1" applyFill="1" applyBorder="1" applyAlignment="1">
      <alignment horizontal="left" vertical="center" wrapText="1"/>
    </xf>
    <xf numFmtId="10" fontId="18" fillId="16" borderId="0" xfId="0" applyNumberFormat="1" applyFont="1" applyFill="1" applyAlignment="1">
      <alignment horizontal="center" vertical="center" wrapText="1"/>
    </xf>
    <xf numFmtId="10" fontId="18" fillId="22" borderId="0" xfId="0" applyNumberFormat="1" applyFont="1" applyFill="1" applyAlignment="1">
      <alignment horizontal="center" vertical="center" wrapText="1"/>
    </xf>
    <xf numFmtId="1" fontId="18" fillId="16" borderId="0" xfId="0" applyNumberFormat="1" applyFont="1" applyFill="1" applyAlignment="1">
      <alignment horizontal="center" vertical="center" wrapText="1"/>
    </xf>
    <xf numFmtId="1" fontId="18" fillId="22" borderId="0" xfId="0" applyNumberFormat="1" applyFont="1" applyFill="1" applyAlignment="1">
      <alignment horizontal="center" vertical="center" wrapText="1"/>
    </xf>
    <xf numFmtId="0" fontId="16" fillId="4" borderId="0" xfId="0" applyFont="1" applyFill="1" applyAlignment="1">
      <alignment horizontal="center" vertical="center" wrapText="1"/>
    </xf>
    <xf numFmtId="0" fontId="7" fillId="0" borderId="0" xfId="0" applyFont="1" applyAlignment="1">
      <alignment horizontal="center" vertical="center" wrapText="1"/>
    </xf>
    <xf numFmtId="0" fontId="10" fillId="16" borderId="3" xfId="0" applyFont="1" applyFill="1" applyBorder="1" applyAlignment="1">
      <alignment horizontal="right" vertical="center" wrapText="1"/>
    </xf>
    <xf numFmtId="0" fontId="10" fillId="24" borderId="8" xfId="0" applyFont="1" applyFill="1" applyBorder="1" applyAlignment="1">
      <alignment horizontal="left" vertical="center" wrapText="1"/>
    </xf>
    <xf numFmtId="0" fontId="10" fillId="24" borderId="8" xfId="0" applyFont="1" applyFill="1" applyBorder="1" applyAlignment="1">
      <alignment horizontal="right" vertical="center" wrapText="1"/>
    </xf>
    <xf numFmtId="0" fontId="12" fillId="4" borderId="8" xfId="0" applyFont="1" applyFill="1" applyBorder="1" applyAlignment="1">
      <alignment horizontal="center" vertical="center" wrapText="1"/>
    </xf>
    <xf numFmtId="0" fontId="10" fillId="18" borderId="8" xfId="0" applyFont="1" applyFill="1" applyBorder="1" applyAlignment="1">
      <alignment horizontal="left" vertical="center" wrapText="1"/>
    </xf>
    <xf numFmtId="0" fontId="10" fillId="18" borderId="8" xfId="0" applyFont="1" applyFill="1" applyBorder="1" applyAlignment="1">
      <alignment horizontal="center" vertical="center" wrapText="1"/>
    </xf>
    <xf numFmtId="0" fontId="7" fillId="16" borderId="8" xfId="0" applyFont="1" applyFill="1" applyBorder="1" applyAlignment="1">
      <alignment horizontal="center" vertical="center" wrapText="1"/>
    </xf>
    <xf numFmtId="2" fontId="7" fillId="16" borderId="8" xfId="0" applyNumberFormat="1" applyFont="1" applyFill="1" applyBorder="1" applyAlignment="1">
      <alignment horizontal="center" vertical="center" wrapText="1"/>
    </xf>
    <xf numFmtId="0" fontId="15" fillId="20" borderId="8" xfId="0" applyFont="1" applyFill="1" applyBorder="1" applyAlignment="1">
      <alignment horizontal="center" vertical="center" wrapText="1"/>
    </xf>
    <xf numFmtId="10" fontId="6" fillId="16" borderId="8" xfId="0" applyNumberFormat="1" applyFont="1" applyFill="1" applyBorder="1" applyAlignment="1">
      <alignment horizontal="center" vertical="center" wrapText="1"/>
    </xf>
    <xf numFmtId="0" fontId="16" fillId="21" borderId="8" xfId="0" applyFont="1" applyFill="1" applyBorder="1" applyAlignment="1">
      <alignment horizontal="center" vertical="center" wrapText="1"/>
    </xf>
    <xf numFmtId="1" fontId="17" fillId="3" borderId="8" xfId="0" applyNumberFormat="1" applyFont="1" applyFill="1" applyBorder="1" applyAlignment="1">
      <alignment horizontal="center" vertical="center" wrapText="1"/>
    </xf>
    <xf numFmtId="10" fontId="17" fillId="3" borderId="8" xfId="0" applyNumberFormat="1" applyFont="1" applyFill="1" applyBorder="1" applyAlignment="1">
      <alignment horizontal="center" vertical="center" wrapText="1"/>
    </xf>
    <xf numFmtId="0" fontId="18" fillId="16" borderId="8" xfId="0" applyFont="1" applyFill="1" applyBorder="1" applyAlignment="1">
      <alignment horizontal="center" vertical="center" wrapText="1"/>
    </xf>
    <xf numFmtId="1" fontId="19" fillId="5" borderId="8" xfId="0" applyNumberFormat="1" applyFont="1" applyFill="1" applyBorder="1" applyAlignment="1">
      <alignment horizontal="center" vertical="center" wrapText="1"/>
    </xf>
    <xf numFmtId="0" fontId="18" fillId="22" borderId="8" xfId="0" applyFont="1" applyFill="1" applyBorder="1" applyAlignment="1">
      <alignment horizontal="center" vertical="center" wrapText="1"/>
    </xf>
    <xf numFmtId="0" fontId="18" fillId="27" borderId="8" xfId="0" applyFont="1" applyFill="1" applyBorder="1" applyAlignment="1">
      <alignment horizontal="left" vertical="center" wrapText="1"/>
    </xf>
    <xf numFmtId="0" fontId="16" fillId="28" borderId="8"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22" fillId="0" borderId="8" xfId="0" applyFont="1" applyBorder="1" applyAlignment="1">
      <alignment horizontal="center" vertical="center" wrapText="1"/>
    </xf>
    <xf numFmtId="0" fontId="19" fillId="29" borderId="8" xfId="0" applyFont="1" applyFill="1" applyBorder="1" applyAlignment="1">
      <alignment horizontal="center" vertical="center" wrapText="1"/>
    </xf>
    <xf numFmtId="0" fontId="24" fillId="31" borderId="8" xfId="0" applyFont="1" applyFill="1" applyBorder="1" applyAlignment="1">
      <alignment horizontal="center" vertical="center" wrapText="1"/>
    </xf>
    <xf numFmtId="0" fontId="25" fillId="31" borderId="8" xfId="0" applyFont="1" applyFill="1" applyBorder="1" applyAlignment="1">
      <alignment horizontal="center" vertical="center" wrapText="1"/>
    </xf>
    <xf numFmtId="0" fontId="23" fillId="32" borderId="0" xfId="0" applyFont="1" applyFill="1" applyAlignment="1">
      <alignment horizontal="left" vertical="center" wrapText="1"/>
    </xf>
    <xf numFmtId="0" fontId="23" fillId="30" borderId="0" xfId="0" applyFont="1" applyFill="1" applyAlignment="1">
      <alignment horizontal="left" vertical="center" wrapText="1"/>
    </xf>
    <xf numFmtId="0" fontId="23" fillId="30" borderId="0" xfId="0" applyFont="1" applyFill="1"/>
    <xf numFmtId="0" fontId="26" fillId="30" borderId="0" xfId="0" applyFont="1" applyFill="1"/>
    <xf numFmtId="0" fontId="23" fillId="30" borderId="0" xfId="0" applyFont="1" applyFill="1" applyAlignment="1">
      <alignment horizontal="center" vertical="center" wrapText="1"/>
    </xf>
    <xf numFmtId="10" fontId="23" fillId="30" borderId="0" xfId="0" applyNumberFormat="1" applyFont="1" applyFill="1" applyAlignment="1">
      <alignment horizontal="center" vertical="center" wrapText="1"/>
    </xf>
    <xf numFmtId="1" fontId="23" fillId="30" borderId="0" xfId="0" applyNumberFormat="1" applyFont="1" applyFill="1" applyAlignment="1">
      <alignment horizontal="center" vertical="center" wrapText="1"/>
    </xf>
    <xf numFmtId="0" fontId="23" fillId="32" borderId="0" xfId="0" applyFont="1" applyFill="1" applyAlignment="1">
      <alignment horizontal="center" vertical="center" wrapText="1"/>
    </xf>
    <xf numFmtId="10" fontId="23" fillId="32" borderId="0" xfId="0" applyNumberFormat="1" applyFont="1" applyFill="1" applyAlignment="1">
      <alignment horizontal="center" vertical="center" wrapText="1"/>
    </xf>
    <xf numFmtId="1" fontId="23" fillId="32" borderId="0" xfId="0" applyNumberFormat="1" applyFont="1" applyFill="1" applyAlignment="1">
      <alignment horizontal="center" vertical="center" wrapText="1"/>
    </xf>
    <xf numFmtId="0" fontId="23" fillId="30" borderId="0" xfId="0" applyFont="1" applyFill="1" applyAlignment="1">
      <alignment horizontal="left" vertical="center"/>
    </xf>
    <xf numFmtId="0" fontId="23" fillId="30" borderId="0" xfId="0" applyFont="1" applyFill="1" applyAlignment="1">
      <alignment vertical="center"/>
    </xf>
    <xf numFmtId="10" fontId="27" fillId="30" borderId="8" xfId="0" applyNumberFormat="1" applyFont="1" applyFill="1" applyBorder="1" applyAlignment="1">
      <alignment horizontal="center" vertical="center" wrapText="1"/>
    </xf>
    <xf numFmtId="0" fontId="0" fillId="33" borderId="0" xfId="0" applyFill="1"/>
    <xf numFmtId="165" fontId="28" fillId="33" borderId="0" xfId="0" applyNumberFormat="1" applyFont="1" applyFill="1"/>
    <xf numFmtId="0" fontId="18" fillId="5" borderId="8" xfId="0" applyFont="1" applyFill="1" applyBorder="1" applyAlignment="1">
      <alignment horizontal="left" vertical="center" wrapText="1"/>
    </xf>
    <xf numFmtId="10" fontId="4" fillId="34" borderId="0" xfId="0" applyNumberFormat="1" applyFont="1" applyFill="1" applyAlignment="1">
      <alignment wrapText="1"/>
    </xf>
    <xf numFmtId="0" fontId="7" fillId="35" borderId="0" xfId="0" applyFont="1" applyFill="1" applyAlignment="1">
      <alignment vertical="center" wrapText="1"/>
    </xf>
    <xf numFmtId="10" fontId="4" fillId="36" borderId="0" xfId="0" applyNumberFormat="1" applyFont="1" applyFill="1" applyAlignment="1">
      <alignment wrapText="1"/>
    </xf>
    <xf numFmtId="0" fontId="0" fillId="16" borderId="0" xfId="0" applyFill="1" applyAlignment="1">
      <alignment horizontal="left" vertical="center" wrapText="1"/>
    </xf>
    <xf numFmtId="165" fontId="28" fillId="16" borderId="0" xfId="0" applyNumberFormat="1" applyFont="1" applyFill="1" applyAlignment="1">
      <alignment horizontal="left" vertical="center" wrapText="1"/>
    </xf>
    <xf numFmtId="0" fontId="21" fillId="23" borderId="0" xfId="0" applyFont="1" applyFill="1" applyAlignment="1">
      <alignment horizontal="center" vertical="center"/>
    </xf>
    <xf numFmtId="0" fontId="20" fillId="14" borderId="0" xfId="0" applyFont="1" applyFill="1" applyAlignment="1">
      <alignment horizontal="left" vertical="center" wrapText="1"/>
    </xf>
    <xf numFmtId="0" fontId="10" fillId="16" borderId="3" xfId="0" applyFont="1" applyFill="1" applyBorder="1" applyAlignment="1">
      <alignment horizontal="left" vertical="center" wrapText="1"/>
    </xf>
    <xf numFmtId="0" fontId="7" fillId="16" borderId="4" xfId="0" applyFont="1" applyFill="1" applyBorder="1" applyAlignment="1">
      <alignment horizontal="left" vertical="center" wrapText="1"/>
    </xf>
    <xf numFmtId="0" fontId="7" fillId="16" borderId="5" xfId="0" applyFont="1" applyFill="1" applyBorder="1" applyAlignment="1">
      <alignment horizontal="left" vertical="center" wrapText="1"/>
    </xf>
    <xf numFmtId="0" fontId="10" fillId="16" borderId="3" xfId="0" applyFont="1" applyFill="1" applyBorder="1" applyAlignment="1">
      <alignment horizontal="right" vertical="center" wrapText="1"/>
    </xf>
    <xf numFmtId="0" fontId="1" fillId="2" borderId="0" xfId="0" applyFont="1" applyFill="1" applyAlignment="1">
      <alignment horizontal="left" vertical="center" wrapText="1"/>
    </xf>
    <xf numFmtId="0" fontId="2" fillId="3" borderId="0" xfId="0" applyFont="1" applyFill="1" applyAlignment="1">
      <alignment wrapText="1"/>
    </xf>
    <xf numFmtId="0" fontId="0" fillId="0" borderId="0" xfId="0"/>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11" fillId="15" borderId="2" xfId="0" applyFont="1" applyFill="1" applyBorder="1" applyAlignment="1">
      <alignment horizontal="left" vertical="center" wrapText="1"/>
    </xf>
    <xf numFmtId="0" fontId="11" fillId="6" borderId="0" xfId="0" applyFont="1" applyFill="1" applyAlignment="1">
      <alignment horizontal="left" vertical="center" wrapText="1"/>
    </xf>
    <xf numFmtId="0" fontId="23" fillId="30" borderId="0" xfId="0" applyFont="1" applyFill="1" applyAlignment="1">
      <alignment horizontal="left" vertical="center"/>
    </xf>
    <xf numFmtId="0" fontId="6" fillId="26" borderId="8" xfId="0" applyFont="1" applyFill="1" applyBorder="1" applyAlignment="1">
      <alignment horizontal="center" vertical="center" wrapText="1"/>
    </xf>
    <xf numFmtId="0" fontId="10" fillId="24" borderId="8" xfId="0" applyFont="1" applyFill="1" applyBorder="1" applyAlignment="1">
      <alignment horizontal="right" vertical="center" wrapText="1"/>
    </xf>
    <xf numFmtId="0" fontId="12" fillId="4" borderId="8" xfId="0" applyFont="1" applyFill="1" applyBorder="1" applyAlignment="1">
      <alignment horizontal="center" vertical="center" wrapText="1"/>
    </xf>
    <xf numFmtId="0" fontId="12" fillId="4" borderId="0" xfId="0" applyFont="1" applyFill="1" applyAlignment="1">
      <alignment horizontal="center" vertical="center" wrapText="1"/>
    </xf>
    <xf numFmtId="0" fontId="7" fillId="16" borderId="8" xfId="0" applyFont="1" applyFill="1" applyBorder="1" applyAlignment="1">
      <alignment horizontal="left" vertical="center" wrapText="1"/>
    </xf>
    <xf numFmtId="0" fontId="7" fillId="16" borderId="0" xfId="0" applyFont="1" applyFill="1" applyAlignment="1">
      <alignment horizontal="left" vertical="center" wrapText="1"/>
    </xf>
    <xf numFmtId="1" fontId="13" fillId="5" borderId="8" xfId="0" applyNumberFormat="1" applyFont="1" applyFill="1" applyBorder="1" applyAlignment="1">
      <alignment horizontal="center" vertical="center" wrapText="1"/>
    </xf>
    <xf numFmtId="1" fontId="13" fillId="5" borderId="0" xfId="0" applyNumberFormat="1" applyFont="1" applyFill="1" applyAlignment="1">
      <alignment horizontal="center" vertical="center" wrapText="1"/>
    </xf>
    <xf numFmtId="10" fontId="7" fillId="16" borderId="8" xfId="0" applyNumberFormat="1" applyFont="1" applyFill="1" applyBorder="1" applyAlignment="1">
      <alignment horizontal="left" vertical="center" wrapText="1"/>
    </xf>
    <xf numFmtId="10" fontId="7" fillId="16" borderId="0" xfId="0" applyNumberFormat="1" applyFont="1" applyFill="1" applyAlignment="1">
      <alignment horizontal="left" vertical="center" wrapText="1"/>
    </xf>
    <xf numFmtId="0" fontId="27" fillId="30" borderId="8" xfId="0" applyFont="1" applyFill="1" applyBorder="1" applyAlignment="1">
      <alignment horizontal="left" vertical="center" wrapText="1"/>
    </xf>
    <xf numFmtId="0" fontId="14" fillId="19" borderId="0" xfId="0" applyFont="1" applyFill="1" applyAlignment="1">
      <alignment horizontal="left" vertical="center" wrapText="1"/>
    </xf>
    <xf numFmtId="0" fontId="6" fillId="25" borderId="8" xfId="0" applyFont="1" applyFill="1" applyBorder="1" applyAlignment="1">
      <alignment horizontal="center" vertical="center" wrapText="1"/>
    </xf>
  </cellXfs>
  <cellStyles count="1">
    <cellStyle name="Normal" xfId="0" builtinId="0"/>
  </cellStyles>
  <dxfs count="44">
    <dxf>
      <font>
        <color rgb="FF666666"/>
      </font>
      <fill>
        <patternFill>
          <bgColor rgb="FFF2F2F2"/>
        </patternFill>
      </fill>
    </dxf>
    <dxf>
      <font>
        <color rgb="FF9C0006"/>
      </font>
      <fill>
        <patternFill>
          <bgColor rgb="FFF4CCCC"/>
        </patternFill>
      </fill>
    </dxf>
    <dxf>
      <font>
        <color rgb="FFA64B00"/>
      </font>
      <fill>
        <patternFill>
          <bgColor rgb="FFFCE4D6"/>
        </patternFill>
      </fill>
    </dxf>
    <dxf>
      <font>
        <color rgb="FFBF9000"/>
      </font>
      <fill>
        <patternFill>
          <bgColor rgb="FFFFF2CC"/>
        </patternFill>
      </fill>
    </dxf>
    <dxf>
      <font>
        <color rgb="FF548235"/>
      </font>
      <fill>
        <patternFill>
          <bgColor rgb="FFE2F0D9"/>
        </patternFill>
      </fill>
    </dxf>
    <dxf>
      <font>
        <color rgb="FF666666"/>
      </font>
      <fill>
        <patternFill>
          <bgColor rgb="FFF2F2F2"/>
        </patternFill>
      </fill>
    </dxf>
    <dxf>
      <font>
        <b/>
        <color rgb="FF9C0006"/>
      </font>
      <fill>
        <patternFill>
          <bgColor rgb="FFF4CCCC"/>
        </patternFill>
      </fill>
    </dxf>
    <dxf>
      <font>
        <b/>
        <color rgb="FFA64B00"/>
      </font>
      <fill>
        <patternFill>
          <bgColor rgb="FFFCE4D6"/>
        </patternFill>
      </fill>
    </dxf>
    <dxf>
      <font>
        <b/>
        <color rgb="FFBF9000"/>
      </font>
      <fill>
        <patternFill>
          <bgColor rgb="FFFFF2CC"/>
        </patternFill>
      </fill>
    </dxf>
    <dxf>
      <font>
        <b/>
        <color rgb="FF548235"/>
      </font>
      <fill>
        <patternFill>
          <bgColor rgb="FFE2F0D9"/>
        </patternFill>
      </fill>
    </dxf>
    <dxf>
      <font>
        <color rgb="FFBF9000"/>
      </font>
      <fill>
        <patternFill>
          <bgColor rgb="FFFFF2CC"/>
        </patternFill>
      </fill>
    </dxf>
    <dxf>
      <font>
        <color rgb="FF666666"/>
      </font>
    </dxf>
    <dxf>
      <font>
        <b/>
        <color rgb="FFBF9000"/>
      </font>
      <fill>
        <patternFill>
          <bgColor rgb="FFFFF2CC"/>
        </patternFill>
      </fill>
    </dxf>
    <dxf>
      <font>
        <color rgb="FF9C0006"/>
      </font>
      <fill>
        <patternFill>
          <bgColor rgb="FFF4CCCC"/>
        </patternFill>
      </fill>
    </dxf>
    <dxf>
      <font>
        <color rgb="FFBF9000"/>
      </font>
      <fill>
        <patternFill>
          <bgColor rgb="FFFFF2CC"/>
        </patternFill>
      </fill>
    </dxf>
    <dxf>
      <font>
        <color rgb="FF548235"/>
      </font>
      <fill>
        <patternFill>
          <bgColor rgb="FFE2F0D9"/>
        </patternFill>
      </fill>
    </dxf>
    <dxf>
      <font>
        <color rgb="FFA64B00"/>
      </font>
      <fill>
        <patternFill>
          <bgColor rgb="FFFCE4D6"/>
        </patternFill>
      </fill>
    </dxf>
    <dxf>
      <font>
        <b/>
        <color rgb="FFA64B00"/>
      </font>
      <fill>
        <patternFill>
          <bgColor rgb="FFFCE4D6"/>
        </patternFill>
      </fill>
    </dxf>
    <dxf>
      <font>
        <b/>
        <color rgb="FFBF9000"/>
      </font>
      <fill>
        <patternFill>
          <bgColor rgb="FFFFF2CC"/>
        </patternFill>
      </fill>
    </dxf>
    <dxf>
      <font>
        <b/>
        <color rgb="FF548235"/>
      </font>
      <fill>
        <patternFill>
          <bgColor rgb="FFE2F0D9"/>
        </patternFill>
      </fill>
    </dxf>
    <dxf>
      <font>
        <b/>
        <color rgb="FF9C0006"/>
      </font>
      <fill>
        <patternFill>
          <bgColor rgb="FFF4CCCC"/>
        </patternFill>
      </fill>
    </dxf>
    <dxf>
      <font>
        <b/>
        <color rgb="FFA64B00"/>
      </font>
      <fill>
        <patternFill>
          <bgColor rgb="FFFCE4D6"/>
        </patternFill>
      </fill>
    </dxf>
    <dxf>
      <font>
        <b/>
        <color rgb="FFBF9000"/>
      </font>
      <fill>
        <patternFill>
          <bgColor rgb="FFFFF2CC"/>
        </patternFill>
      </fill>
    </dxf>
    <dxf>
      <font>
        <b/>
        <color rgb="FF548235"/>
      </font>
      <fill>
        <patternFill>
          <bgColor rgb="FFE2F0D9"/>
        </patternFill>
      </fill>
    </dxf>
    <dxf>
      <font>
        <b/>
        <color rgb="FF548235"/>
      </font>
      <fill>
        <patternFill>
          <bgColor rgb="FFE2F0D9"/>
        </patternFill>
      </fill>
    </dxf>
    <dxf>
      <font>
        <color rgb="FF548235"/>
      </font>
      <fill>
        <patternFill>
          <bgColor rgb="FFE2F0D9"/>
        </patternFill>
      </fill>
    </dxf>
    <dxf>
      <font>
        <color rgb="FF666666"/>
      </font>
      <fill>
        <patternFill>
          <bgColor rgb="FFF2F2F2"/>
        </patternFill>
      </fill>
    </dxf>
    <dxf>
      <font>
        <color rgb="FF9C0006"/>
      </font>
      <fill>
        <patternFill>
          <bgColor rgb="FFF4CCCC"/>
        </patternFill>
      </fill>
    </dxf>
    <dxf>
      <font>
        <color rgb="FFBF9000"/>
      </font>
      <fill>
        <patternFill>
          <bgColor rgb="FFFFF2CC"/>
        </patternFill>
      </fill>
    </dxf>
    <dxf>
      <font>
        <color rgb="FFA64B00"/>
      </font>
      <fill>
        <patternFill>
          <bgColor rgb="FFFCE4D6"/>
        </patternFill>
      </fill>
    </dxf>
    <dxf>
      <font>
        <b/>
        <color rgb="FF548235"/>
      </font>
      <fill>
        <patternFill>
          <bgColor rgb="FFE2F0D9"/>
        </patternFill>
      </fill>
    </dxf>
    <dxf>
      <font>
        <b/>
        <color rgb="FFA64B00"/>
      </font>
      <fill>
        <patternFill>
          <bgColor rgb="FFFCE4D6"/>
        </patternFill>
      </fill>
    </dxf>
    <dxf>
      <font>
        <b/>
        <color rgb="FFBF9000"/>
      </font>
      <fill>
        <patternFill>
          <bgColor rgb="FFFFF2CC"/>
        </patternFill>
      </fill>
    </dxf>
    <dxf>
      <font>
        <b/>
        <color rgb="FF9C0006"/>
      </font>
      <fill>
        <patternFill>
          <bgColor rgb="FFF4CCCC"/>
        </patternFill>
      </fill>
    </dxf>
    <dxf>
      <font>
        <color rgb="FF666666"/>
      </font>
      <fill>
        <patternFill>
          <bgColor rgb="FFF2F2F2"/>
        </patternFill>
      </fill>
    </dxf>
    <dxf>
      <font>
        <b/>
        <color rgb="FF666666"/>
      </font>
      <fill>
        <patternFill>
          <bgColor rgb="FFF2F2F2"/>
        </patternFill>
      </fill>
    </dxf>
    <dxf>
      <font>
        <b/>
        <color rgb="FF9C0006"/>
      </font>
      <fill>
        <patternFill>
          <bgColor rgb="FFF4CCCC"/>
        </patternFill>
      </fill>
    </dxf>
    <dxf>
      <font>
        <b/>
        <color rgb="FFBF9000"/>
      </font>
      <fill>
        <patternFill>
          <bgColor rgb="FFFFF2CC"/>
        </patternFill>
      </fill>
    </dxf>
    <dxf>
      <font>
        <b/>
        <color rgb="FF548235"/>
      </font>
      <fill>
        <patternFill>
          <bgColor rgb="FFE2F0D9"/>
        </patternFill>
      </fill>
    </dxf>
    <dxf>
      <font>
        <color rgb="FF666666"/>
      </font>
      <fill>
        <patternFill>
          <bgColor rgb="FFF2F2F2"/>
        </patternFill>
      </fill>
    </dxf>
    <dxf>
      <font>
        <b/>
        <color rgb="FF9C0006"/>
      </font>
      <fill>
        <patternFill>
          <bgColor rgb="FFF4CCCC"/>
        </patternFill>
      </fill>
    </dxf>
    <dxf>
      <font>
        <b/>
        <color rgb="FF548235"/>
      </font>
      <fill>
        <patternFill>
          <bgColor rgb="FFE2F0D9"/>
        </patternFill>
      </fill>
    </dxf>
    <dxf>
      <font>
        <b/>
        <color rgb="FFBF9000"/>
      </font>
      <fill>
        <patternFill>
          <bgColor rgb="FFFFF2CC"/>
        </patternFill>
      </fill>
    </dxf>
    <dxf>
      <font>
        <b/>
        <color rgb="FFA64B00"/>
      </font>
      <fill>
        <patternFill>
          <bgColor rgb="FFFCE4D6"/>
        </patternFill>
      </fill>
    </dxf>
  </dxfs>
  <tableStyles count="0" defaultTableStyle="TableStyleMedium2" defaultPivotStyle="PivotStyleLight16"/>
  <colors>
    <mruColors>
      <color rgb="FFFFF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8"/>
  <sheetViews>
    <sheetView workbookViewId="0">
      <selection activeCell="B4" sqref="B4"/>
    </sheetView>
  </sheetViews>
  <sheetFormatPr baseColWidth="10" defaultColWidth="8.83203125" defaultRowHeight="14"/>
  <cols>
    <col min="1" max="1" width="30" customWidth="1"/>
    <col min="2" max="2" width="14" customWidth="1"/>
    <col min="3" max="3" width="10" customWidth="1"/>
    <col min="4" max="4" width="52" customWidth="1"/>
  </cols>
  <sheetData>
    <row r="1" spans="1:4" ht="18">
      <c r="A1" s="92" t="str">
        <f>IF(Config!$B$3="FR","Q17-Mini — Compatibilité MOSFET &amp; R14/R15 initiales — Configuration","Q17-Mini — MOSFET Compatibility &amp; Initial R14/R15 — Configuration")</f>
        <v>Q17-Mini — MOSFET Compatibility &amp; Initial R14/R15 — Configuration</v>
      </c>
      <c r="B1" s="92"/>
      <c r="C1" s="92"/>
      <c r="D1" s="92"/>
    </row>
    <row r="2" spans="1:4" ht="15">
      <c r="A2" s="93" t="str">
        <f>IF(Config!$B$3="FR","Modifier uniquement les cellules jaunes. Les valeurs R14/R15 calculées sont des valeurs initiales à valider à l’oscilloscope.","Edit yellow cells only. Calculated R14/R15 values are initial values to validate on the oscilloscope.")</f>
        <v>Edit yellow cells only. Calculated R14/R15 values are initial values to validate on the oscilloscope.</v>
      </c>
      <c r="B2" s="93"/>
      <c r="C2" s="93"/>
      <c r="D2" s="93"/>
    </row>
    <row r="3" spans="1:4" ht="16">
      <c r="A3" s="3" t="str">
        <f>IF(Config!$B$3="FR","Langue","Language")</f>
        <v>Language</v>
      </c>
      <c r="B3" s="4" t="s">
        <v>251</v>
      </c>
      <c r="C3" s="2"/>
      <c r="D3" s="2" t="s">
        <v>0</v>
      </c>
    </row>
    <row r="4" spans="1:4" ht="16">
      <c r="A4" s="1" t="str">
        <f>IF(Config!$B$3="FR","Paramètre","Parameter")</f>
        <v>Parameter</v>
      </c>
      <c r="B4" s="1" t="str">
        <f>IF(Config!$B$3="FR","Valeur","Value")</f>
        <v>Value</v>
      </c>
      <c r="C4" s="1" t="str">
        <f>IF(Config!$B$3="FR","Unité","Unit")</f>
        <v>Unit</v>
      </c>
      <c r="D4" s="1" t="str">
        <f>IF(Config!$B$3="FR","Remarque","Note")</f>
        <v>Note</v>
      </c>
    </row>
    <row r="5" spans="1:4" ht="31">
      <c r="A5" s="3" t="str">
        <f>IF(Config!$B$3="FR","Version","Version")</f>
        <v>Version</v>
      </c>
      <c r="B5" s="2" t="s">
        <v>250</v>
      </c>
      <c r="C5" s="2"/>
      <c r="D5" s="2" t="str">
        <f>IF(Config!$B$3="FR","Version bilingue FR/EN — mécanisme direct sans feuille supplémentaire","FR/EN bilingual version — direct mechanism without extra sheet")</f>
        <v>FR/EN bilingual version — direct mechanism without extra sheet</v>
      </c>
    </row>
    <row r="6" spans="1:4" ht="16">
      <c r="A6" s="3" t="str">
        <f>IF(Config!$B$3="FR","Date","Date")</f>
        <v>Date</v>
      </c>
      <c r="B6" s="2" t="s">
        <v>1</v>
      </c>
      <c r="C6" s="2"/>
      <c r="D6" s="2"/>
    </row>
    <row r="7" spans="1:4" ht="15">
      <c r="A7" s="3"/>
      <c r="B7" s="2"/>
      <c r="C7" s="2"/>
      <c r="D7" s="2"/>
    </row>
    <row r="8" spans="1:4" ht="16">
      <c r="A8" s="3" t="str">
        <f>IF(Config!$B$3="FR","Résistance de référence","Reference resistor")</f>
        <v>Reference resistor</v>
      </c>
      <c r="B8" s="4" t="s">
        <v>2</v>
      </c>
      <c r="C8" s="2"/>
      <c r="D8" s="2" t="str">
        <f>IF(Config!$B$3="FR","R14 ou R15","R14 or R15")</f>
        <v>R14 or R15</v>
      </c>
    </row>
    <row r="9" spans="1:4" ht="16">
      <c r="A9" s="3" t="str">
        <f>IF(Config!$B$3="FR","Valeur initiale cible","Initial target value")</f>
        <v>Initial target value</v>
      </c>
      <c r="B9" s="4">
        <v>100</v>
      </c>
      <c r="C9" s="2" t="s">
        <v>3</v>
      </c>
      <c r="D9" s="2" t="str">
        <f>IF(Config!$B$3="FR","Point de départ uniquement","Starting point only")</f>
        <v>Starting point only</v>
      </c>
    </row>
    <row r="10" spans="1:4" ht="15">
      <c r="A10" s="3"/>
      <c r="B10" s="2"/>
      <c r="C10" s="2"/>
      <c r="D10" s="2"/>
    </row>
    <row r="11" spans="1:4" ht="16">
      <c r="A11" s="3" t="str">
        <f>IF(Config!$B$3="FR","Rail |V|","Rail |V|")</f>
        <v>Rail |V|</v>
      </c>
      <c r="B11" s="4">
        <v>50</v>
      </c>
      <c r="C11" s="2" t="s">
        <v>4</v>
      </c>
      <c r="D11" s="2"/>
    </row>
    <row r="12" spans="1:4" ht="16">
      <c r="A12" s="3" t="str">
        <f>IF(Config!$B$3="FR","Charge RL","Load RL")</f>
        <v>Load RL</v>
      </c>
      <c r="B12" s="4">
        <v>8</v>
      </c>
      <c r="C12" s="2" t="s">
        <v>3</v>
      </c>
      <c r="D12" s="2"/>
    </row>
    <row r="13" spans="1:4" ht="16">
      <c r="A13" s="3" t="str">
        <f>IF(Config!$B$3="FR","Id de calcul","Calculation Id")</f>
        <v>Calculation Id</v>
      </c>
      <c r="B13" s="4">
        <v>3.125</v>
      </c>
      <c r="C13" s="2" t="s">
        <v>5</v>
      </c>
      <c r="D13" s="2"/>
    </row>
    <row r="14" spans="1:4" ht="16">
      <c r="A14" s="3" t="str">
        <f>IF(Config!$B$3="FR","Boucle de grille Lloop","Gate loop Lloop")</f>
        <v>Gate loop Lloop</v>
      </c>
      <c r="B14" s="4">
        <v>30</v>
      </c>
      <c r="C14" s="2" t="s">
        <v>6</v>
      </c>
      <c r="D14" s="2"/>
    </row>
    <row r="15" spans="1:4" ht="16">
      <c r="A15" s="3" t="str">
        <f>IF(Config!$B$3="FR","Rdriver HF","HF Rdriver")</f>
        <v>HF Rdriver</v>
      </c>
      <c r="B15" s="4">
        <v>0</v>
      </c>
      <c r="C15" s="2" t="s">
        <v>3</v>
      </c>
      <c r="D15" s="2"/>
    </row>
    <row r="16" spans="1:4" ht="16">
      <c r="A16" s="3" t="str">
        <f>IF(Config!$B$3="FR","Marge de stabilité","Stability margin")</f>
        <v>Stability margin</v>
      </c>
      <c r="B16" s="4">
        <v>1.4</v>
      </c>
      <c r="C16" s="2"/>
      <c r="D16" s="2"/>
    </row>
    <row r="17" spans="1:4" ht="16">
      <c r="A17" s="3" t="str">
        <f>IF(Config!$B$3="FR","Marge Vdss","Vdss margin")</f>
        <v>Vdss margin</v>
      </c>
      <c r="B17" s="5">
        <v>1.2</v>
      </c>
      <c r="C17" s="2"/>
      <c r="D17" s="2" t="str">
        <f>IF(Config!$B$3="FR","Critère : |Vdss| ≥ 2 × rail × marge","Criterion: |Vdss| ≥ 2 × rail × margin")</f>
        <v>Criterion: |Vdss| ≥ 2 × rail × margin</v>
      </c>
    </row>
    <row r="18" spans="1:4" ht="16">
      <c r="A18" s="3" t="str">
        <f>IF(Config!$B$3="FR","Marge Id","Id margin")</f>
        <v>Id margin</v>
      </c>
      <c r="B18" s="4">
        <v>1.5</v>
      </c>
      <c r="C18" s="2"/>
      <c r="D18" s="2" t="str">
        <f>IF(Config!$B$3="FR","Critère : Idmax ≥ Id calcul × marge","Criterion: Idmax ≥ calculation Id × margin")</f>
        <v>Criterion: Idmax ≥ calculation Id × margin</v>
      </c>
    </row>
    <row r="19" spans="1:4" ht="16">
      <c r="A19" s="3" t="str">
        <f>IF(Config!$B$3="FR","Écart N/P max","Max N/P mismatch")</f>
        <v>Max N/P mismatch</v>
      </c>
      <c r="B19" s="4">
        <v>0.15</v>
      </c>
      <c r="C19" s="2"/>
      <c r="D19" s="2" t="str">
        <f>IF(Config!$B$3="FR","Rapport relatif","Relative ratio")</f>
        <v>Relative ratio</v>
      </c>
    </row>
    <row r="20" spans="1:4" ht="16">
      <c r="A20" s="3" t="str">
        <f>IF(Config!$B$3="FR","Fréquence HF à préserver","HF frequency to preserve")</f>
        <v>HF frequency to preserve</v>
      </c>
      <c r="B20" s="4">
        <v>100</v>
      </c>
      <c r="C20" s="2" t="s">
        <v>7</v>
      </c>
      <c r="D20" s="2"/>
    </row>
    <row r="21" spans="1:4" ht="16">
      <c r="A21" s="3" t="str">
        <f>IF(Config!$B$3="FR","Déphasage grille max","Max gate phase shift")</f>
        <v>Max gate phase shift</v>
      </c>
      <c r="B21" s="4">
        <v>5</v>
      </c>
      <c r="C21" s="2" t="s">
        <v>8</v>
      </c>
      <c r="D21" s="2"/>
    </row>
    <row r="22" spans="1:4" ht="16">
      <c r="A22" s="3" t="str">
        <f>IF(Config!$B$3="FR","Perte grille max","Max gate loss")</f>
        <v>Max gate loss</v>
      </c>
      <c r="B22" s="4">
        <v>0.1</v>
      </c>
      <c r="C22" s="2" t="s">
        <v>9</v>
      </c>
      <c r="D22" s="2"/>
    </row>
    <row r="23" spans="1:4" ht="16">
      <c r="A23" s="3" t="str">
        <f>IF(Config!$B$3="FR","Ciss max","Max Ciss")</f>
        <v>Max Ciss</v>
      </c>
      <c r="B23" s="4">
        <v>3500</v>
      </c>
      <c r="C23" s="2" t="s">
        <v>10</v>
      </c>
      <c r="D23" s="2"/>
    </row>
    <row r="24" spans="1:4" ht="32">
      <c r="A24" s="13" t="str">
        <f>IF(Config!$B$3="FR","COMPATIBILITÉ DE PAIRE CURRENT-DUMPER","CURRENT-DUMPER PAIR COMPATIBILITY")</f>
        <v>CURRENT-DUMPER PAIR COMPATIBILITY</v>
      </c>
      <c r="B24" s="13"/>
      <c r="C24" s="13"/>
      <c r="D24" s="13"/>
    </row>
    <row r="25" spans="1:4" ht="16">
      <c r="A25" s="3" t="str">
        <f>IF(Config!$B$3="FR","Poids profil Ceff","Ceff profile weight")</f>
        <v>Ceff profile weight</v>
      </c>
      <c r="B25" s="14">
        <v>0.3</v>
      </c>
      <c r="C25" s="2"/>
      <c r="D25" s="2" t="str">
        <f>IF(Config!$B$3="FR","Similitude N/P de Ceff dans plusieurs états du follower.","N/P Ceff similarity across several follower states.")</f>
        <v>N/P Ceff similarity across several follower states.</v>
      </c>
    </row>
    <row r="26" spans="1:4" ht="16">
      <c r="A26" s="3" t="str">
        <f>IF(Config!$B$3="FR","Poids similitude Qgd","Qgd similarity weight")</f>
        <v>Qgd similarity weight</v>
      </c>
      <c r="B26" s="14">
        <v>0.2</v>
      </c>
      <c r="C26" s="2"/>
      <c r="D26" s="2" t="str">
        <f>IF(Config!$B$3="FR","Charge de plateau Miller / transition.","Miller plateau / transition charge.")</f>
        <v>Miller plateau / transition charge.</v>
      </c>
    </row>
    <row r="27" spans="1:4" ht="16">
      <c r="A27" s="3" t="str">
        <f>IF(Config!$B$3="FR","Poids similitude Qg","Qg similarity weight")</f>
        <v>Qg similarity weight</v>
      </c>
      <c r="B27" s="14">
        <v>0.15</v>
      </c>
      <c r="C27" s="2"/>
      <c r="D27" s="2" t="str">
        <f>IF(Config!$B$3="FR","Charge de grille totale.","Total gate charge.")</f>
        <v>Total gate charge.</v>
      </c>
    </row>
    <row r="28" spans="1:4" ht="16">
      <c r="A28" s="3" t="str">
        <f>IF(Config!$B$3="FR","Poids similitude gm","gm similarity weight")</f>
        <v>gm similarity weight</v>
      </c>
      <c r="B28" s="14">
        <v>0.15</v>
      </c>
      <c r="C28" s="2"/>
      <c r="D28" s="2" t="str">
        <f>IF(Config!$B$3="FR","gm modélisé au même courant Q17.","gm modeled at the same Q17 current.")</f>
        <v>gm modeled at the same Q17 current.</v>
      </c>
    </row>
    <row r="29" spans="1:4" ht="16">
      <c r="A29" s="3" t="str">
        <f>IF(Config!$B$3="FR","Poids similitude Crss","Crss similarity weight")</f>
        <v>Crss similarity weight</v>
      </c>
      <c r="B29" s="14">
        <v>0.1</v>
      </c>
      <c r="C29" s="2"/>
      <c r="D29" s="2" t="str">
        <f>IF(Config!$B$3="FR","Couplage drain-grille dynamique.","Dynamic drain-gate coupling.")</f>
        <v>Dynamic drain-gate coupling.</v>
      </c>
    </row>
    <row r="30" spans="1:4" ht="16">
      <c r="A30" s="3" t="str">
        <f>IF(Config!$B$3="FR","Poids similitude VGS","VGS similarity weight")</f>
        <v>VGS similarity weight</v>
      </c>
      <c r="B30" s="14">
        <v>0.1</v>
      </c>
      <c r="C30" s="2"/>
      <c r="D30" s="2" t="str">
        <f>IF(Config!$B$3="FR","Contribution de transfert, volontairement modérée.","Deliberately moderate transfer contribution.")</f>
        <v>Deliberately moderate transfer contribution.</v>
      </c>
    </row>
    <row r="31" spans="1:4" ht="16">
      <c r="A31" s="3" t="str">
        <f>IF(Config!$B$3="FR","Total poids paire","Total pair weight")</f>
        <v>Total pair weight</v>
      </c>
      <c r="B31" s="83">
        <f>SUM(B25:B30)</f>
        <v>1</v>
      </c>
      <c r="C31" s="2"/>
      <c r="D31" s="2" t="str">
        <f>IF(Config!$B$3="FR","Doit être égal à 1,00.","Must equal 1.00.")</f>
        <v>Must equal 1.00.</v>
      </c>
    </row>
    <row r="32" spans="1:4">
      <c r="A32" s="2"/>
      <c r="B32" s="2"/>
      <c r="C32" s="2"/>
      <c r="D32" s="2"/>
    </row>
    <row r="33" spans="1:4" ht="16">
      <c r="A33" s="12" t="str">
        <f>IF(Config!$B$3="FR","PROFIL Ceff DU FOLLOWER","FOLLOWER Ceff PROFILE")</f>
        <v>FOLLOWER Ceff PROFILE</v>
      </c>
      <c r="B33" s="12"/>
      <c r="C33" s="12"/>
      <c r="D33" s="12"/>
    </row>
    <row r="34" spans="1:4" ht="16">
      <c r="A34" s="2" t="str">
        <f>IF(Config!$B$3="FR","Poids état Av = 0,00","Av = 0.00 state weight")</f>
        <v>Av = 0.00 state weight</v>
      </c>
      <c r="B34" s="14">
        <v>0.25</v>
      </c>
      <c r="C34" s="2"/>
      <c r="D34" s="2" t="str">
        <f>IF(Config!$B$3="FR","Début de transition / source quasi immobile.","Start of transition / source nearly stationary.")</f>
        <v>Start of transition / source nearly stationary.</v>
      </c>
    </row>
    <row r="35" spans="1:4" ht="16">
      <c r="A35" s="2" t="str">
        <f>IF(Config!$B$3="FR","Poids état Av = 0,50","Av = 0.50 state weight")</f>
        <v>Av = 0.50 state weight</v>
      </c>
      <c r="B35" s="14">
        <v>0.35</v>
      </c>
      <c r="C35" s="2"/>
      <c r="D35" s="2" t="str">
        <f>IF(Config!$B$3="FR","État intermédiaire.","Intermediate state.")</f>
        <v>Intermediate state.</v>
      </c>
    </row>
    <row r="36" spans="1:4" ht="16">
      <c r="A36" s="2" t="str">
        <f>IF(Config!$B$3="FR","Poids état Av = 0,95","Av = 0.95 state weight")</f>
        <v>Av = 0.95 state weight</v>
      </c>
      <c r="B36" s="14">
        <v>0.4</v>
      </c>
      <c r="C36" s="2"/>
      <c r="D36" s="2" t="str">
        <f>IF(Config!$B$3="FR","Source follower actif ; Cgs largement bootstrapée.","Active source follower; Cgs largely bootstrapped.")</f>
        <v>Active source follower; Cgs largely bootstrapped.</v>
      </c>
    </row>
    <row r="37" spans="1:4" ht="16">
      <c r="A37" s="2" t="str">
        <f>IF(Config!$B$3="FR","Total poids états","Total state weights")</f>
        <v>Total state weights</v>
      </c>
      <c r="B37" s="81">
        <f>SUM(B34:B36)</f>
        <v>1</v>
      </c>
      <c r="C37" s="2"/>
      <c r="D37" s="2" t="str">
        <f>IF(Config!$B$3="FR","Doit être égal à 1,00.","Must equal 1.00.")</f>
        <v>Must equal 1.00.</v>
      </c>
    </row>
    <row r="38" spans="1:4">
      <c r="A38" s="2"/>
      <c r="B38" s="2"/>
      <c r="C38" s="2"/>
      <c r="D38" s="2"/>
    </row>
    <row r="39" spans="1:4" ht="31">
      <c r="A39" s="2" t="str">
        <f>IF(Config!$B$3="FR","Av de référence pour R14/R15","Reference Av for R14/R15")</f>
        <v>Reference Av for R14/R15</v>
      </c>
      <c r="B39" s="15">
        <v>0.5</v>
      </c>
      <c r="C39" s="2"/>
      <c r="D39" s="2" t="str">
        <f>IF(Config!$B$3="FR","Utilisé uniquement pour la légère compensation Rgate après sélection de la paire.","Used only for small Rgate compensation after pair selection.")</f>
        <v>Used only for small Rgate compensation after pair selection.</v>
      </c>
    </row>
    <row r="41" spans="1:4" ht="15">
      <c r="A41" s="19" t="str">
        <f>IF(Config!$B$3="FR","CLASSEMENT THÉORIQUE SIMPLIFIÉ","SIMPLIFIED THEORETICAL CLASSIFICATION")</f>
        <v>SIMPLIFIED THEORETICAL CLASSIFICATION</v>
      </c>
      <c r="B41" s="19"/>
      <c r="C41" s="19"/>
      <c r="D41" s="19"/>
    </row>
    <row r="42" spans="1:4" ht="15">
      <c r="A42" t="str">
        <f>IF(Config!$B$3="FR","Ceff min classe A","Class A min Ceff")</f>
        <v>Class A min Ceff</v>
      </c>
      <c r="B42" s="20">
        <v>0.82</v>
      </c>
      <c r="D42" t="str">
        <f>IF(Config!$B$3="FR","Similarité du profil Ceff N/P.","N/P Ceff profile similarity.")</f>
        <v>N/P Ceff profile similarity.</v>
      </c>
    </row>
    <row r="43" spans="1:4" ht="15">
      <c r="A43" t="str">
        <f>IF(Config!$B$3="FR","Équilibre Rgate min classe A","Class A min Rgate balance")</f>
        <v>Class A min Rgate balance</v>
      </c>
      <c r="B43" s="20">
        <v>0.75</v>
      </c>
      <c r="D43" t="str">
        <f>IF(Config!$B$3="FR","MIN(R14,R15)/MAX(R14,R15), valeurs cibles E24.","MIN(R14,R15)/MAX(R14,R15), E24 target values.")</f>
        <v>MIN(R14,R15)/MAX(R14,R15), E24 target values.</v>
      </c>
    </row>
    <row r="44" spans="1:4" ht="15">
      <c r="A44" t="str">
        <f>IF(Config!$B$3="FR","Ceff min classe B","Class B min Ceff")</f>
        <v>Class B min Ceff</v>
      </c>
      <c r="B44" s="20">
        <v>0.78</v>
      </c>
    </row>
    <row r="45" spans="1:4" ht="15">
      <c r="A45" t="str">
        <f>IF(Config!$B$3="FR","Équilibre Rgate min classe B","Class B min Rgate balance")</f>
        <v>Class B min Rgate balance</v>
      </c>
      <c r="B45" s="20">
        <v>0.75</v>
      </c>
    </row>
    <row r="46" spans="1:4" ht="15">
      <c r="A46" t="str">
        <f>IF(Config!$B$3="FR","Seuil alerte Qgd","Qgd alert threshold")</f>
        <v>Qgd alert threshold</v>
      </c>
      <c r="B46" s="20">
        <v>0.4</v>
      </c>
      <c r="D46" t="str">
        <f>IF(Config!$B$3="FR","Seulement alerte si asymétrie vraiment forte.","Alert only for a really strong asymmetry.")</f>
        <v>Alert only for a really strong asymmetry.</v>
      </c>
    </row>
    <row r="47" spans="1:4" ht="15">
      <c r="A47" t="str">
        <f>IF(Config!$B$3="FR","Seuil alerte Qg/gm/Crss","Qg/gm/Crss alert threshold")</f>
        <v>Qg/gm/Crss alert threshold</v>
      </c>
      <c r="B47" s="20">
        <v>0.45</v>
      </c>
    </row>
    <row r="48" spans="1:4" ht="15">
      <c r="A48" t="str">
        <f>IF(Config!$B$3="FR","Seuil alerte VGS","VGS alert threshold")</f>
        <v>VGS alert threshold</v>
      </c>
      <c r="B48" s="20">
        <v>0.7</v>
      </c>
      <c r="D48" t="str">
        <f>IF(Config!$B$3="FR","Valeur issue de courbes typiques : seuil volontairement souple.","Value from typical curves: deliberately loose threshold.")</f>
        <v>Value from typical curves: deliberately loose threshold.</v>
      </c>
    </row>
  </sheetData>
  <mergeCells count="2">
    <mergeCell ref="A1:D1"/>
    <mergeCell ref="A2:D2"/>
  </mergeCells>
  <dataValidations count="1">
    <dataValidation type="list" sqref="B8" xr:uid="{00000000-0002-0000-0000-000000000000}">
      <formula1>"R14,R15"</formula1>
    </dataValidation>
  </dataValidations>
  <pageMargins left="0.7" right="0.7" top="0.75" bottom="0.75" header="0.3" footer="0.3"/>
  <pageSetup paperSize="9" scale="60"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workbookViewId="0">
      <pane ySplit="3" topLeftCell="A4" activePane="bottomLeft" state="frozen"/>
      <selection pane="bottomLeft"/>
    </sheetView>
  </sheetViews>
  <sheetFormatPr baseColWidth="10" defaultColWidth="8.83203125" defaultRowHeight="14"/>
  <cols>
    <col min="1" max="1" width="23" customWidth="1"/>
    <col min="2" max="2" width="16" customWidth="1"/>
    <col min="3" max="3" width="17" customWidth="1"/>
    <col min="4" max="4" width="28.5" customWidth="1"/>
    <col min="5" max="5" width="11.1640625" customWidth="1"/>
    <col min="6" max="6" width="10.6640625" customWidth="1"/>
    <col min="7" max="8" width="31" customWidth="1"/>
    <col min="9" max="9" width="16" customWidth="1"/>
    <col min="10" max="10" width="21.6640625" customWidth="1"/>
    <col min="13" max="13" width="0.1640625" customWidth="1"/>
  </cols>
  <sheetData>
    <row r="1" spans="1:13" ht="28" customHeight="1">
      <c r="A1" s="95" t="str">
        <f>IF(Config!$B$3="FR","Q17-Mini — Sélection Q15/Q16 pour current-dumping &amp; R14/R15 initiales","Q17-Mini — Q15/Q16 selection for current-dumping &amp; initial R14/R15")</f>
        <v>Q17-Mini — Q15/Q16 selection for current-dumping &amp; initial R14/R15</v>
      </c>
      <c r="B1" s="95"/>
      <c r="C1" s="95"/>
      <c r="D1" s="95"/>
      <c r="E1" s="95"/>
      <c r="F1" s="95"/>
      <c r="G1" s="95"/>
      <c r="H1" s="95"/>
      <c r="I1" s="95"/>
      <c r="J1" s="95"/>
      <c r="M1" s="68"/>
    </row>
    <row r="2" spans="1:13" ht="26" customHeight="1">
      <c r="A2" s="96" t="str">
        <f>IF(Config!$B$3="FR","1.1b35 — Statut d’essai structuré → R14/R15 initiales → validation au scope.","1.1b35 — Structured test status → initial R14/R15 → oscilloscope validation.")</f>
        <v>1.1b35 — Structured test status → initial R14/R15 → oscilloscope validation.</v>
      </c>
      <c r="B2" s="96"/>
      <c r="C2" s="96"/>
      <c r="D2" s="96"/>
      <c r="E2" s="96"/>
      <c r="F2" s="96"/>
      <c r="G2" s="96"/>
      <c r="H2" s="96"/>
      <c r="I2" s="96"/>
      <c r="J2" s="96"/>
      <c r="M2" s="68"/>
    </row>
    <row r="3" spans="1:13" ht="27" customHeight="1">
      <c r="A3" s="43" t="str">
        <f>IF(Config!$B$3="FR","Paire sélectionnée","Selected pair")</f>
        <v>Selected pair</v>
      </c>
      <c r="B3" s="112" t="s">
        <v>11</v>
      </c>
      <c r="C3" s="112"/>
      <c r="D3" s="44" t="str">
        <f>IF(Config!$B$3="FR","Version","Version")</f>
        <v>Version</v>
      </c>
      <c r="E3" s="100" t="str">
        <f>Config!$B$5</f>
        <v>1.1b35</v>
      </c>
      <c r="F3" s="100"/>
      <c r="G3" s="44" t="str">
        <f>IF(Config!$B$3="FR","Langue","Language")</f>
        <v>Language</v>
      </c>
      <c r="H3" s="100" t="str">
        <f>Config!$B$3</f>
        <v>EN</v>
      </c>
      <c r="I3" s="101" t="str">
        <f>IF(Config!$B$3="FR","Date","Date")</f>
        <v>Date</v>
      </c>
      <c r="J3" s="100" t="str">
        <f>Config!$B$6</f>
        <v>08/10/2026</v>
      </c>
      <c r="M3" s="68" t="str">
        <f>IFERROR(MID(B3,FIND("(",B3)+1,FIND(")",B3)-FIND("(",B3)-1),"")</f>
        <v>C16</v>
      </c>
    </row>
    <row r="4" spans="1:13" ht="24" customHeight="1">
      <c r="A4" s="97" t="str">
        <f>IF(Config!$B$3="FR","SYNTHÈSE DE LA PAIRE","PAIR SUMMARY")</f>
        <v>PAIR SUMMARY</v>
      </c>
      <c r="B4" s="97"/>
      <c r="C4" s="97"/>
      <c r="D4" s="97"/>
      <c r="E4" s="97"/>
      <c r="F4" s="97"/>
      <c r="G4" s="97"/>
      <c r="H4" s="97"/>
      <c r="I4" s="97"/>
      <c r="J4" s="97"/>
      <c r="M4" s="68"/>
    </row>
    <row r="5" spans="1:13" ht="24" customHeight="1">
      <c r="A5" s="45" t="str">
        <f>IF(Config!$B$3="FR","Paramètre","Parameter")</f>
        <v>Parameter</v>
      </c>
      <c r="B5" s="102" t="str">
        <f>IF(Config!$B$3="FR","Valeur","Value")</f>
        <v>Value</v>
      </c>
      <c r="C5" s="103"/>
      <c r="D5" s="45" t="s">
        <v>12</v>
      </c>
      <c r="E5" s="45" t="s">
        <v>13</v>
      </c>
      <c r="F5" s="45" t="s">
        <v>14</v>
      </c>
      <c r="G5" s="45" t="s">
        <v>15</v>
      </c>
      <c r="H5" s="45" t="s">
        <v>16</v>
      </c>
      <c r="I5" s="45" t="s">
        <v>17</v>
      </c>
      <c r="J5" s="45" t="str">
        <f>IF(Config!$B$3="FR","Aptitude","Suitability")</f>
        <v>Suitability</v>
      </c>
      <c r="M5" s="68"/>
    </row>
    <row r="6" spans="1:13" ht="21" customHeight="1">
      <c r="A6" s="46" t="s">
        <v>18</v>
      </c>
      <c r="B6" s="104" t="str">
        <f>IFERROR(VLOOKUP($M$3,Calculations!$A$5:$BM$22,2,FALSE),"")</f>
        <v>IXTQ74N20P</v>
      </c>
      <c r="C6" s="105"/>
      <c r="D6" s="47" t="s">
        <v>19</v>
      </c>
      <c r="E6" s="48">
        <f>IFERROR(VLOOKUP($M$3,Calculations!$A$5:$BM$22,12,FALSE),"")</f>
        <v>3300</v>
      </c>
      <c r="F6" s="48">
        <f>IFERROR(VLOOKUP($M$3,Calculations!$A$5:$BM$22,16,FALSE),"")</f>
        <v>190</v>
      </c>
      <c r="G6" s="48">
        <f>IFERROR(VLOOKUP($M$3,Calculations!$A$5:$CC$22,69,FALSE),"")</f>
        <v>52</v>
      </c>
      <c r="H6" s="49">
        <f>IFERROR(VLOOKUP($M$3,Calculations!$A$5:$CC$22,28,FALSE),"")</f>
        <v>12.78724026182012</v>
      </c>
      <c r="I6" s="49">
        <f>IFERROR(VLOOKUP($M$3,Calculations!$A$5:$CC$22,26,FALSE),"")</f>
        <v>4.5999999999999996</v>
      </c>
      <c r="J6" s="48" t="str">
        <f>IFERROR(VLOOKUP($M$3,Calculations!$A$5:$CC$22,58,FALSE),"")</f>
        <v>OK</v>
      </c>
      <c r="M6" s="68"/>
    </row>
    <row r="7" spans="1:13" ht="21" customHeight="1">
      <c r="A7" s="46" t="s">
        <v>20</v>
      </c>
      <c r="B7" s="104" t="str">
        <f>IFERROR(VLOOKUP($M$3,Calculations!$A$5:$BM$22,3,FALSE),"")</f>
        <v>FQA36P15</v>
      </c>
      <c r="C7" s="105"/>
      <c r="D7" s="47" t="s">
        <v>21</v>
      </c>
      <c r="E7" s="48">
        <f>IFERROR(VLOOKUP($M$3,Calculations!$A$5:$BM$22,13,FALSE),"")</f>
        <v>2550</v>
      </c>
      <c r="F7" s="48">
        <f>IFERROR(VLOOKUP($M$3,Calculations!$A$5:$BM$22,17,FALSE),"")</f>
        <v>110</v>
      </c>
      <c r="G7" s="48">
        <f>IFERROR(VLOOKUP($M$3,Calculations!$A$5:$CC$22,70,FALSE),"")</f>
        <v>42</v>
      </c>
      <c r="H7" s="49">
        <f>IFERROR(VLOOKUP($M$3,Calculations!$A$5:$CC$22,29,FALSE),"")</f>
        <v>8.125</v>
      </c>
      <c r="I7" s="49">
        <f>IFERROR(VLOOKUP($M$3,Calculations!$A$5:$CC$22,27,FALSE),"")</f>
        <v>4.3</v>
      </c>
      <c r="J7" s="48" t="str">
        <f>IFERROR(VLOOKUP($M$3,Calculations!$A$5:$CC$22,59,FALSE),"")</f>
        <v>OK</v>
      </c>
      <c r="M7" s="68"/>
    </row>
    <row r="8" spans="1:13" ht="21" customHeight="1">
      <c r="A8" s="46" t="str">
        <f>IF(Config!$B$3="FR","R14 initiale (Ω)","Initial R14 (Ω)")</f>
        <v>Initial R14 (Ω)</v>
      </c>
      <c r="B8" s="106">
        <f>IFERROR(VLOOKUP($M$3,Calculations!$A$5:$BM$22,54,FALSE),"")</f>
        <v>100</v>
      </c>
      <c r="C8" s="107"/>
      <c r="D8" s="41"/>
      <c r="E8" s="41"/>
      <c r="F8" s="41"/>
      <c r="G8" s="41"/>
      <c r="H8" s="41"/>
      <c r="I8" s="41"/>
      <c r="J8" s="41"/>
      <c r="M8" s="68"/>
    </row>
    <row r="9" spans="1:13" ht="34" customHeight="1">
      <c r="A9" s="46" t="str">
        <f>IF(Config!$B$3="FR","R15 initiale (Ω)","Initial R15 (Ω)")</f>
        <v>Initial R15 (Ω)</v>
      </c>
      <c r="B9" s="106">
        <f>IFERROR(VLOOKUP($M$3,Calculations!$A$5:$BM$22,55,FALSE),"")</f>
        <v>130</v>
      </c>
      <c r="C9" s="107"/>
      <c r="D9" s="50" t="str">
        <f>IF(Config!$B$3="FR","Plage théorique","Theoretical range")</f>
        <v>Theoretical range</v>
      </c>
      <c r="E9" s="50" t="str">
        <f>IF(Config!$B$3="FR","R min E24","E24 min R")</f>
        <v>E24 min R</v>
      </c>
      <c r="F9" s="50" t="str">
        <f>IF(Config!$B$3="FR","R max E24","E24 max R")</f>
        <v>E24 max R</v>
      </c>
      <c r="G9" s="50" t="str">
        <f>IF(Config!$B$3="FR","Statut","Status")</f>
        <v>Status</v>
      </c>
      <c r="H9" s="41"/>
      <c r="I9" s="50" t="str">
        <f>IF(Config!$B$3="FR","Évaluation théorique","Theoretical assessment")</f>
        <v>Theoretical assessment</v>
      </c>
      <c r="J9" s="50" t="str">
        <f>IF(Config!$B$3="FR","Valeur","Value")</f>
        <v>Value</v>
      </c>
      <c r="M9" s="68"/>
    </row>
    <row r="10" spans="1:13" ht="21" customHeight="1">
      <c r="A10" s="46" t="str">
        <f>IF(Config!$B$3="FR","Origine","Origin")</f>
        <v>Origin</v>
      </c>
      <c r="B10" s="104" t="str">
        <f>IF(Config!$B$3="FR",IFERROR(VLOOKUP($M$3,Calculations!$A$5:$BM$22,56,FALSE),""),IF(IFERROR(VLOOKUP($M$3,Calculations!$A$5:$BM$22,56,FALSE),"")="CIBLE INITIALE","INITIAL TARGET",IF(IFERROR(VLOOKUP($M$3,Calculations!$A$5:$BM$22,56,FALSE),"")="CALCUL THÉORIQUE INITIAL","INITIAL THEORETICAL CALCULATION",IF(IFERROR(VLOOKUP($M$3,Calculations!$A$5:$BM$22,56,FALSE),"")="TEST Q17","Q17 TEST",IFERROR(VLOOKUP($M$3,Calculations!$A$5:$BM$22,56,FALSE),"")))))</f>
        <v>INITIAL TARGET</v>
      </c>
      <c r="C10" s="105"/>
      <c r="D10" s="48" t="s">
        <v>2</v>
      </c>
      <c r="E10" s="48">
        <f>IFERROR(VLOOKUP($M$3,Calculations!$A$5:$BM$22,36,FALSE),"")</f>
        <v>10</v>
      </c>
      <c r="F10" s="48">
        <f>IFERROR(VLOOKUP($M$3,Calculations!$A$5:$BM$22,49,FALSE),"")</f>
        <v>620</v>
      </c>
      <c r="G10" s="48" t="str">
        <f>IF(AND(B8&gt;=E10,B8&lt;=F10),"OK",IF(Config!$B$3="FR","À CONTRÔLER","CHECK"))</f>
        <v>OK</v>
      </c>
      <c r="H10" s="41"/>
      <c r="I10" s="47" t="str">
        <f>IF(Config!$B$3="FR","Classe","Class")</f>
        <v>Class</v>
      </c>
      <c r="J10" s="77" t="str">
        <f>IF(Config!$B$3="FR",IFERROR(VLOOKUP($M$3,Calculations!$A$5:$CH$22,82,FALSE),""),IF(IFERROR(VLOOKUP($M$3,Calculations!$A$5:$CH$22,82,FALSE),"")="A – TRÈS BON CANDIDAT","A – VERY GOOD CANDIDATE",IF(IFERROR(VLOOKUP($M$3,Calculations!$A$5:$CH$22,82,FALSE),"")="B – BON CANDIDAT","B – GOOD CANDIDATE",IF(IFERROR(VLOOKUP($M$3,Calculations!$A$5:$CH$22,82,FALSE),"")="C – À ÉTUDIER","C – NEEDS REVIEW",IF(IFERROR(VLOOKUP($M$3,Calculations!$A$5:$CH$22,82,FALSE),"")="X – INADAPTÉ","X – UNSUITABLE",IFERROR(VLOOKUP($M$3,Calculations!$A$5:$CH$22,82,FALSE),""))))))</f>
        <v>C – NEEDS REVIEW</v>
      </c>
      <c r="M10" s="68"/>
    </row>
    <row r="11" spans="1:13" ht="21" customHeight="1">
      <c r="A11" s="46" t="str">
        <f>IF(Config!$B$3="FR","Écart N/P","N/P mismatch")</f>
        <v>N/P mismatch</v>
      </c>
      <c r="B11" s="108">
        <f>IFERROR(VLOOKUP($M$3,Calculations!$A$5:$BM$22,57,FALSE),"")</f>
        <v>9.2539039907460954E-3</v>
      </c>
      <c r="C11" s="109"/>
      <c r="D11" s="48" t="s">
        <v>22</v>
      </c>
      <c r="E11" s="48">
        <f>IFERROR(VLOOKUP($M$3,Calculations!$A$5:$BM$22,37,FALSE),"")</f>
        <v>10</v>
      </c>
      <c r="F11" s="48">
        <f>IFERROR(VLOOKUP($M$3,Calculations!$A$5:$BM$22,50,FALSE),"")</f>
        <v>910</v>
      </c>
      <c r="G11" s="48" t="str">
        <f>IF(AND(B9&gt;=E11,B9&lt;=F11),"OK",IF(Config!$B$3="FR","À CONTRÔLER","CHECK"))</f>
        <v>OK</v>
      </c>
      <c r="H11" s="41"/>
      <c r="I11" s="47" t="str">
        <f>IF(Config!$B$3="FR","Profil Ceff","Ceff profile")</f>
        <v>Ceff profile</v>
      </c>
      <c r="J11" s="51">
        <f>IFERROR(VLOOKUP($M$3,Calculations!$A$5:$CH$22,61,FALSE),"")</f>
        <v>0.72854023316944061</v>
      </c>
      <c r="M11" s="68"/>
    </row>
    <row r="12" spans="1:13" ht="39" customHeight="1">
      <c r="A12" s="46" t="str">
        <f>IF(Config!$B$3="FR","Compatibilité Q17 théorique","Theoretical Q17 compatibility")</f>
        <v>Theoretical Q17 compatibility</v>
      </c>
      <c r="B12" s="110" t="str">
        <f>IF(Config!$B$3="FR",IFERROR(VLOOKUP($M$3,Calculations!$A$5:$CH$22,82,FALSE),""),IF(IFERROR(VLOOKUP($M$3,Calculations!$A$5:$CH$22,82,FALSE),"")="A – TRÈS BON CANDIDAT","A – VERY GOOD CANDIDATE",IF(IFERROR(VLOOKUP($M$3,Calculations!$A$5:$CH$22,82,FALSE),"")="B – BON CANDIDAT","B – GOOD CANDIDATE",IF(IFERROR(VLOOKUP($M$3,Calculations!$A$5:$CH$22,82,FALSE),"")="C – À ÉTUDIER","C – NEEDS REVIEW",IF(IFERROR(VLOOKUP($M$3,Calculations!$A$5:$CH$22,82,FALSE),"")="X – INADAPTÉ","X – UNSUITABLE",IFERROR(VLOOKUP($M$3,Calculations!$A$5:$CH$22,82,FALSE),""))))))</f>
        <v>C – NEEDS REVIEW</v>
      </c>
      <c r="C12" s="111"/>
      <c r="D12" s="41"/>
      <c r="E12" s="41"/>
      <c r="F12" s="41"/>
      <c r="G12" s="41"/>
      <c r="H12" s="41"/>
      <c r="I12" s="47" t="str">
        <f>IF(Config!$B$3="FR","Équilibre Rgate","Rgate balance")</f>
        <v>Rgate balance</v>
      </c>
      <c r="J12" s="51">
        <f>IFERROR(VLOOKUP($M$3,Calculations!$A$5:$CH$22,83,FALSE),"")</f>
        <v>0.76923076923076927</v>
      </c>
      <c r="M12" s="68"/>
    </row>
    <row r="13" spans="1:13" ht="22" customHeight="1">
      <c r="A13" s="22"/>
      <c r="B13" s="22"/>
      <c r="C13" s="22"/>
      <c r="D13" s="52" t="str">
        <f>IF(Config!$B$3="FR","Nb alertes","Alert count")</f>
        <v>Alert count</v>
      </c>
      <c r="E13" s="52" t="s">
        <v>23</v>
      </c>
      <c r="F13" s="52" t="s">
        <v>24</v>
      </c>
      <c r="G13" s="52" t="s">
        <v>25</v>
      </c>
      <c r="H13" s="52" t="s">
        <v>26</v>
      </c>
      <c r="I13" s="52" t="s">
        <v>27</v>
      </c>
      <c r="J13" s="52" t="str">
        <f>IF(Config!$B$3="FR","Alertes","Alerts")</f>
        <v>Alerts</v>
      </c>
      <c r="M13" s="68"/>
    </row>
    <row r="14" spans="1:13" ht="22" customHeight="1">
      <c r="A14" s="22"/>
      <c r="C14" s="22"/>
      <c r="D14" s="53">
        <f>IFERROR(VLOOKUP($M$3,Calculations!$A$5:$CH$22,84,FALSE),"")</f>
        <v>0</v>
      </c>
      <c r="E14" s="54">
        <f>IFERROR(VLOOKUP($M$3,Calculations!$A$5:$CH$22,62,FALSE),"")</f>
        <v>0.80769230769230771</v>
      </c>
      <c r="F14" s="54">
        <f>IFERROR(VLOOKUP($M$3,Calculations!$A$5:$CH$22,63,FALSE),"")</f>
        <v>0.7570093457943925</v>
      </c>
      <c r="G14" s="54">
        <f>IFERROR(VLOOKUP($M$3,Calculations!$A$5:$CH$22,64,FALSE),"")</f>
        <v>0.63539902540655768</v>
      </c>
      <c r="H14" s="54">
        <f>IFERROR(VLOOKUP($M$3,Calculations!$A$5:$CH$22,65,FALSE),"")</f>
        <v>0.57894736842105265</v>
      </c>
      <c r="I14" s="54">
        <f>IFERROR(VLOOKUP($M$3,Calculations!$A$5:$CH$22,66,FALSE),"")</f>
        <v>0.93478260869565222</v>
      </c>
      <c r="J14" s="54" t="str">
        <f>IF(Config!$B$3="FR",IFERROR(VLOOKUP($M$3,Calculations!$A$5:$CH$22,85,FALSE),""),IF(IFERROR(VLOOKUP($M$3,Calculations!$A$5:$CH$22,85,FALSE),"")="Aucune","None",IFERROR(VLOOKUP($M$3,Calculations!$A$5:$CH$22,85,FALSE),"")))</f>
        <v>None</v>
      </c>
      <c r="M14" s="68"/>
    </row>
    <row r="15" spans="1:13" ht="24" customHeight="1">
      <c r="A15" s="98" t="str">
        <f>IF(Config!$B$3="FR","REGISTRE DE VALIDATION PHYSIQUE Q17","Q17 PHYSICAL VALIDATION LOG")</f>
        <v>Q17 PHYSICAL VALIDATION LOG</v>
      </c>
      <c r="B15" s="98"/>
      <c r="C15" s="98"/>
      <c r="D15" s="98"/>
      <c r="E15" s="98"/>
      <c r="F15" s="98"/>
      <c r="G15" s="98"/>
      <c r="H15" s="98"/>
      <c r="I15" s="98"/>
      <c r="J15" s="99"/>
      <c r="K15" s="67"/>
      <c r="L15" s="67"/>
      <c r="M15" s="68"/>
    </row>
    <row r="16" spans="1:13" ht="25" customHeight="1">
      <c r="A16" s="60" t="str">
        <f>IF(Config!$B$3="FR","Paire","Pair")</f>
        <v>Pair</v>
      </c>
      <c r="B16" s="60" t="s">
        <v>19</v>
      </c>
      <c r="C16" s="60" t="s">
        <v>21</v>
      </c>
      <c r="D16" s="60" t="str">
        <f>IF(Config!$B$3="FR","Statut essai Q17","Q17 test status")</f>
        <v>Q17 test status</v>
      </c>
      <c r="E16" s="60" t="str">
        <f>IF(Config!$B$3="FR","R14 testée (Ω)","Tested R14 (Ω)")</f>
        <v>Tested R14 (Ω)</v>
      </c>
      <c r="F16" s="60" t="str">
        <f>IF(Config!$B$3="FR","R15 testée (Ω)","Tested R15 (Ω)")</f>
        <v>Tested R15 (Ω)</v>
      </c>
      <c r="G16" s="60" t="s">
        <v>28</v>
      </c>
      <c r="H16" s="60" t="s">
        <v>29</v>
      </c>
      <c r="I16" s="59" t="str">
        <f>IF(Config!$B$3="FR","État validation","Validation state")</f>
        <v>Validation state</v>
      </c>
      <c r="J16" s="76"/>
      <c r="K16" s="67"/>
      <c r="L16" s="67"/>
      <c r="M16" s="68"/>
    </row>
    <row r="17" spans="1:13" ht="34" customHeight="1">
      <c r="A17" s="55" t="s">
        <v>30</v>
      </c>
      <c r="B17" s="55" t="s">
        <v>31</v>
      </c>
      <c r="C17" s="55" t="s">
        <v>32</v>
      </c>
      <c r="D17" s="62" t="s">
        <v>33</v>
      </c>
      <c r="E17" s="56"/>
      <c r="F17" s="56"/>
      <c r="G17" s="58" t="s">
        <v>34</v>
      </c>
      <c r="H17" s="58" t="s">
        <v>35</v>
      </c>
      <c r="I17" s="61" t="str">
        <f>IF(D17="TESTÉ – À ÉVALUER / TESTED – TO REVIEW",IF(Config!$B$3="FR","À ÉVALUER","TO REVIEW"),IF(D17="VALIDÉ / VALIDATED",IF(AND(E17&gt;0,F17&gt;0),IF(Config!$B$3="FR","COMPLÈTE","COMPLETE"),IF(Config!$B$3="FR","INCOMPLÈTE","INCOMPLETE")),IF(D17="REJETÉ / REJECTED",IF(Config!$B$3="FR","REJETÉ","REJECTED"),"—")))</f>
        <v>—</v>
      </c>
      <c r="J17" s="76"/>
      <c r="K17" s="67"/>
      <c r="L17" s="67"/>
      <c r="M17" s="68" t="s">
        <v>36</v>
      </c>
    </row>
    <row r="18" spans="1:13" ht="34" customHeight="1">
      <c r="A18" s="57" t="s">
        <v>37</v>
      </c>
      <c r="B18" s="57" t="s">
        <v>38</v>
      </c>
      <c r="C18" s="57" t="s">
        <v>32</v>
      </c>
      <c r="D18" s="62" t="s">
        <v>39</v>
      </c>
      <c r="E18" s="56">
        <v>47</v>
      </c>
      <c r="F18" s="56">
        <v>47</v>
      </c>
      <c r="G18" s="58" t="s">
        <v>40</v>
      </c>
      <c r="H18" s="58" t="s">
        <v>41</v>
      </c>
      <c r="I18" s="61" t="str">
        <f>IF(D18="TESTÉ – À ÉVALUER / TESTED – TO REVIEW",IF(Config!$B$3="FR","À ÉVALUER","TO REVIEW"),IF(D18="VALIDÉ / VALIDATED",IF(AND(E18&gt;0,F18&gt;0),IF(Config!$B$3="FR","COMPLÈTE","COMPLETE"),IF(Config!$B$3="FR","INCOMPLÈTE","INCOMPLETE")),IF(D18="REJETÉ / REJECTED",IF(Config!$B$3="FR","REJETÉ","REJECTED"),"—")))</f>
        <v>COMPLETE</v>
      </c>
      <c r="J18" s="76"/>
      <c r="K18" s="67"/>
      <c r="L18" s="67"/>
      <c r="M18" s="68" t="s">
        <v>42</v>
      </c>
    </row>
    <row r="19" spans="1:13" ht="34" customHeight="1">
      <c r="A19" s="55" t="s">
        <v>43</v>
      </c>
      <c r="B19" s="55" t="s">
        <v>38</v>
      </c>
      <c r="C19" s="55" t="s">
        <v>44</v>
      </c>
      <c r="D19" s="62" t="s">
        <v>33</v>
      </c>
      <c r="E19" s="56"/>
      <c r="F19" s="56"/>
      <c r="G19" s="58" t="s">
        <v>45</v>
      </c>
      <c r="H19" s="58" t="s">
        <v>46</v>
      </c>
      <c r="I19" s="61" t="str">
        <f>IF(D19="TESTÉ – À ÉVALUER / TESTED – TO REVIEW",IF(Config!$B$3="FR","À ÉVALUER","TO REVIEW"),IF(D19="VALIDÉ / VALIDATED",IF(AND(E19&gt;0,F19&gt;0),IF(Config!$B$3="FR","COMPLÈTE","COMPLETE"),IF(Config!$B$3="FR","INCOMPLÈTE","INCOMPLETE")),IF(D19="REJETÉ / REJECTED",IF(Config!$B$3="FR","REJETÉ","REJECTED"),"—")))</f>
        <v>—</v>
      </c>
      <c r="J19" s="76"/>
      <c r="K19" s="67"/>
      <c r="L19" s="67"/>
      <c r="M19" s="68" t="s">
        <v>47</v>
      </c>
    </row>
    <row r="20" spans="1:13" ht="34" customHeight="1">
      <c r="A20" s="57" t="s">
        <v>48</v>
      </c>
      <c r="B20" s="57" t="s">
        <v>31</v>
      </c>
      <c r="C20" s="57" t="s">
        <v>44</v>
      </c>
      <c r="D20" s="62" t="s">
        <v>49</v>
      </c>
      <c r="E20" s="56"/>
      <c r="F20" s="56"/>
      <c r="G20" s="58" t="s">
        <v>45</v>
      </c>
      <c r="H20" s="58" t="s">
        <v>46</v>
      </c>
      <c r="I20" s="61" t="str">
        <f>IF(D20="TESTÉ – À ÉVALUER / TESTED – TO REVIEW",IF(Config!$B$3="FR","À ÉVALUER","TO REVIEW"),IF(D20="VALIDÉ / VALIDATED",IF(AND(E20&gt;0,F20&gt;0),IF(Config!$B$3="FR","COMPLÈTE","COMPLETE"),IF(Config!$B$3="FR","INCOMPLÈTE","INCOMPLETE")),IF(D20="REJETÉ / REJECTED",IF(Config!$B$3="FR","REJETÉ","REJECTED"),"—")))</f>
        <v>TO REVIEW</v>
      </c>
      <c r="J20" s="76"/>
      <c r="K20" s="67"/>
      <c r="L20" s="67"/>
      <c r="M20" s="68" t="s">
        <v>50</v>
      </c>
    </row>
    <row r="21" spans="1:13" ht="34" customHeight="1">
      <c r="A21" s="55" t="s">
        <v>51</v>
      </c>
      <c r="B21" s="55" t="s">
        <v>52</v>
      </c>
      <c r="C21" s="55" t="s">
        <v>44</v>
      </c>
      <c r="D21" s="62" t="s">
        <v>49</v>
      </c>
      <c r="E21" s="56"/>
      <c r="F21" s="56"/>
      <c r="G21" s="58" t="s">
        <v>45</v>
      </c>
      <c r="H21" s="58" t="s">
        <v>46</v>
      </c>
      <c r="I21" s="61" t="str">
        <f>IF(D21="TESTÉ – À ÉVALUER / TESTED – TO REVIEW",IF(Config!$B$3="FR","À ÉVALUER","TO REVIEW"),IF(D21="VALIDÉ / VALIDATED",IF(AND(E21&gt;0,F21&gt;0),IF(Config!$B$3="FR","COMPLÈTE","COMPLETE"),IF(Config!$B$3="FR","INCOMPLÈTE","INCOMPLETE")),IF(D21="REJETÉ / REJECTED",IF(Config!$B$3="FR","REJETÉ","REJECTED"),"—")))</f>
        <v>TO REVIEW</v>
      </c>
      <c r="J21" s="76"/>
      <c r="K21" s="67"/>
      <c r="L21" s="67"/>
      <c r="M21" s="68" t="s">
        <v>53</v>
      </c>
    </row>
    <row r="22" spans="1:13" ht="34" customHeight="1">
      <c r="A22" s="57" t="s">
        <v>54</v>
      </c>
      <c r="B22" s="57" t="s">
        <v>52</v>
      </c>
      <c r="C22" s="57" t="s">
        <v>32</v>
      </c>
      <c r="D22" s="62" t="s">
        <v>49</v>
      </c>
      <c r="E22" s="56"/>
      <c r="F22" s="56"/>
      <c r="G22" s="58" t="s">
        <v>45</v>
      </c>
      <c r="H22" s="58" t="s">
        <v>46</v>
      </c>
      <c r="I22" s="61" t="str">
        <f>IF(D22="TESTÉ – À ÉVALUER / TESTED – TO REVIEW",IF(Config!$B$3="FR","À ÉVALUER","TO REVIEW"),IF(D22="VALIDÉ / VALIDATED",IF(AND(E22&gt;0,F22&gt;0),IF(Config!$B$3="FR","COMPLÈTE","COMPLETE"),IF(Config!$B$3="FR","INCOMPLÈTE","INCOMPLETE")),IF(D22="REJETÉ / REJECTED",IF(Config!$B$3="FR","REJETÉ","REJECTED"),"—")))</f>
        <v>TO REVIEW</v>
      </c>
      <c r="J22" s="76"/>
      <c r="K22" s="67"/>
      <c r="L22" s="67"/>
      <c r="M22" s="68" t="s">
        <v>55</v>
      </c>
    </row>
    <row r="23" spans="1:13" ht="34" customHeight="1">
      <c r="A23" s="55" t="s">
        <v>56</v>
      </c>
      <c r="B23" s="55" t="s">
        <v>31</v>
      </c>
      <c r="C23" s="55" t="s">
        <v>57</v>
      </c>
      <c r="D23" s="62" t="s">
        <v>33</v>
      </c>
      <c r="E23" s="56"/>
      <c r="F23" s="56"/>
      <c r="G23" s="58" t="s">
        <v>45</v>
      </c>
      <c r="H23" s="58" t="s">
        <v>46</v>
      </c>
      <c r="I23" s="61" t="str">
        <f>IF(D23="TESTÉ – À ÉVALUER / TESTED – TO REVIEW",IF(Config!$B$3="FR","À ÉVALUER","TO REVIEW"),IF(D23="VALIDÉ / VALIDATED",IF(AND(E23&gt;0,F23&gt;0),IF(Config!$B$3="FR","COMPLÈTE","COMPLETE"),IF(Config!$B$3="FR","INCOMPLÈTE","INCOMPLETE")),IF(D23="REJETÉ / REJECTED",IF(Config!$B$3="FR","REJETÉ","REJECTED"),"—")))</f>
        <v>—</v>
      </c>
      <c r="J23" s="76"/>
      <c r="K23" s="67"/>
      <c r="L23" s="67"/>
      <c r="M23" s="68" t="s">
        <v>58</v>
      </c>
    </row>
    <row r="24" spans="1:13" ht="34" customHeight="1">
      <c r="A24" s="57" t="s">
        <v>59</v>
      </c>
      <c r="B24" s="57" t="s">
        <v>38</v>
      </c>
      <c r="C24" s="57" t="s">
        <v>57</v>
      </c>
      <c r="D24" s="62" t="s">
        <v>33</v>
      </c>
      <c r="E24" s="56"/>
      <c r="F24" s="56"/>
      <c r="G24" s="58" t="s">
        <v>45</v>
      </c>
      <c r="H24" s="58" t="s">
        <v>46</v>
      </c>
      <c r="I24" s="61" t="str">
        <f>IF(D24="TESTÉ – À ÉVALUER / TESTED – TO REVIEW",IF(Config!$B$3="FR","À ÉVALUER","TO REVIEW"),IF(D24="VALIDÉ / VALIDATED",IF(AND(E24&gt;0,F24&gt;0),IF(Config!$B$3="FR","COMPLÈTE","COMPLETE"),IF(Config!$B$3="FR","INCOMPLÈTE","INCOMPLETE")),IF(D24="REJETÉ / REJECTED",IF(Config!$B$3="FR","REJETÉ","REJECTED"),"—")))</f>
        <v>—</v>
      </c>
      <c r="J24" s="76"/>
      <c r="K24" s="67"/>
      <c r="L24" s="67"/>
      <c r="M24" s="68" t="s">
        <v>60</v>
      </c>
    </row>
    <row r="25" spans="1:13" ht="34" customHeight="1">
      <c r="A25" s="55" t="s">
        <v>61</v>
      </c>
      <c r="B25" s="55" t="s">
        <v>52</v>
      </c>
      <c r="C25" s="55" t="s">
        <v>57</v>
      </c>
      <c r="D25" s="62" t="s">
        <v>39</v>
      </c>
      <c r="E25" s="56"/>
      <c r="F25" s="56"/>
      <c r="G25" s="58" t="s">
        <v>45</v>
      </c>
      <c r="H25" s="58" t="s">
        <v>46</v>
      </c>
      <c r="I25" s="61" t="str">
        <f>IF(D25="TESTÉ – À ÉVALUER / TESTED – TO REVIEW",IF(Config!$B$3="FR","À ÉVALUER","TO REVIEW"),IF(D25="VALIDÉ / VALIDATED",IF(AND(E25&gt;0,F25&gt;0),IF(Config!$B$3="FR","COMPLÈTE","COMPLETE"),IF(Config!$B$3="FR","INCOMPLÈTE","INCOMPLETE")),IF(D25="REJETÉ / REJECTED",IF(Config!$B$3="FR","REJETÉ","REJECTED"),"—")))</f>
        <v>INCOMPLETE</v>
      </c>
      <c r="J25" s="76"/>
      <c r="K25" s="67"/>
      <c r="L25" s="67"/>
      <c r="M25" s="68" t="s">
        <v>62</v>
      </c>
    </row>
    <row r="26" spans="1:13" ht="34" customHeight="1">
      <c r="A26" s="57" t="s">
        <v>63</v>
      </c>
      <c r="B26" s="57" t="s">
        <v>64</v>
      </c>
      <c r="C26" s="57" t="s">
        <v>32</v>
      </c>
      <c r="D26" s="62" t="s">
        <v>33</v>
      </c>
      <c r="E26" s="56"/>
      <c r="F26" s="56"/>
      <c r="G26" s="58" t="s">
        <v>45</v>
      </c>
      <c r="H26" s="58" t="s">
        <v>46</v>
      </c>
      <c r="I26" s="61" t="str">
        <f>IF(D26="TESTÉ – À ÉVALUER / TESTED – TO REVIEW",IF(Config!$B$3="FR","À ÉVALUER","TO REVIEW"),IF(D26="VALIDÉ / VALIDATED",IF(AND(E26&gt;0,F26&gt;0),IF(Config!$B$3="FR","COMPLÈTE","COMPLETE"),IF(Config!$B$3="FR","INCOMPLÈTE","INCOMPLETE")),IF(D26="REJETÉ / REJECTED",IF(Config!$B$3="FR","REJETÉ","REJECTED"),"—")))</f>
        <v>—</v>
      </c>
      <c r="J26" s="76"/>
      <c r="K26" s="67"/>
      <c r="L26" s="67"/>
      <c r="M26" s="68" t="s">
        <v>11</v>
      </c>
    </row>
    <row r="27" spans="1:13" ht="34" customHeight="1">
      <c r="A27" s="55" t="s">
        <v>65</v>
      </c>
      <c r="B27" s="55" t="s">
        <v>64</v>
      </c>
      <c r="C27" s="55" t="s">
        <v>44</v>
      </c>
      <c r="D27" s="62" t="s">
        <v>33</v>
      </c>
      <c r="E27" s="56"/>
      <c r="F27" s="56"/>
      <c r="G27" s="58" t="s">
        <v>45</v>
      </c>
      <c r="H27" s="58" t="s">
        <v>46</v>
      </c>
      <c r="I27" s="61" t="str">
        <f>IF(D27="TESTÉ – À ÉVALUER / TESTED – TO REVIEW",IF(Config!$B$3="FR","À ÉVALUER","TO REVIEW"),IF(D27="VALIDÉ / VALIDATED",IF(AND(E27&gt;0,F27&gt;0),IF(Config!$B$3="FR","COMPLÈTE","COMPLETE"),IF(Config!$B$3="FR","INCOMPLÈTE","INCOMPLETE")),IF(D27="REJETÉ / REJECTED",IF(Config!$B$3="FR","REJETÉ","REJECTED"),"—")))</f>
        <v>—</v>
      </c>
      <c r="J27" s="76"/>
      <c r="K27" s="67"/>
      <c r="L27" s="67"/>
      <c r="M27" s="68" t="s">
        <v>66</v>
      </c>
    </row>
    <row r="28" spans="1:13" ht="34" customHeight="1">
      <c r="A28" s="57" t="s">
        <v>67</v>
      </c>
      <c r="B28" s="57" t="s">
        <v>64</v>
      </c>
      <c r="C28" s="57" t="s">
        <v>57</v>
      </c>
      <c r="D28" s="62" t="s">
        <v>68</v>
      </c>
      <c r="E28" s="56"/>
      <c r="F28" s="56"/>
      <c r="G28" s="58" t="s">
        <v>45</v>
      </c>
      <c r="H28" s="58" t="s">
        <v>46</v>
      </c>
      <c r="I28" s="61" t="str">
        <f>IF(D28="TESTÉ – À ÉVALUER / TESTED – TO REVIEW",IF(Config!$B$3="FR","À ÉVALUER","TO REVIEW"),IF(D28="VALIDÉ / VALIDATED",IF(AND(E28&gt;0,F28&gt;0),IF(Config!$B$3="FR","COMPLÈTE","COMPLETE"),IF(Config!$B$3="FR","INCOMPLÈTE","INCOMPLETE")),IF(D28="REJETÉ / REJECTED",IF(Config!$B$3="FR","REJETÉ","REJECTED"),"—")))</f>
        <v>REJECTED</v>
      </c>
      <c r="J28" s="76"/>
      <c r="K28" s="67"/>
      <c r="L28" s="67"/>
      <c r="M28" s="68" t="s">
        <v>69</v>
      </c>
    </row>
    <row r="29" spans="1:13" ht="34" customHeight="1">
      <c r="A29" s="55" t="s">
        <v>70</v>
      </c>
      <c r="B29" s="55" t="s">
        <v>71</v>
      </c>
      <c r="C29" s="55" t="s">
        <v>32</v>
      </c>
      <c r="D29" s="63" t="s">
        <v>33</v>
      </c>
      <c r="E29" s="56"/>
      <c r="F29" s="56"/>
      <c r="G29" s="80" t="s">
        <v>45</v>
      </c>
      <c r="H29" s="80" t="s">
        <v>46</v>
      </c>
      <c r="I29" s="64" t="str">
        <f>IF(D29="TESTÉ – À ÉVALUER / TESTED – TO REVIEW",IF(Config!$B$3="FR","À ÉVALUER","TO REVIEW"),IF(D29="VALIDÉ / VALIDATED",IF(AND(E29&gt;0,F29&gt;0),IF(Config!$B$3="FR","COMPLÈTE","COMPLETE"),IF(Config!$B$3="FR","INCOMPLÈTE","INCOMPLETE")),IF(D29="REJETÉ / REJECTED",IF(Config!$B$3="FR","REJETÉ","REJECTED"),"—")))</f>
        <v>—</v>
      </c>
      <c r="J29" s="76"/>
      <c r="K29" s="67"/>
      <c r="L29" s="67"/>
      <c r="M29" s="68" t="s">
        <v>72</v>
      </c>
    </row>
    <row r="30" spans="1:13" ht="34" customHeight="1">
      <c r="A30" s="57" t="s">
        <v>73</v>
      </c>
      <c r="B30" s="57" t="s">
        <v>71</v>
      </c>
      <c r="C30" s="57" t="s">
        <v>44</v>
      </c>
      <c r="D30" s="63" t="s">
        <v>33</v>
      </c>
      <c r="E30" s="56"/>
      <c r="F30" s="56"/>
      <c r="G30" s="80" t="s">
        <v>45</v>
      </c>
      <c r="H30" s="80" t="s">
        <v>46</v>
      </c>
      <c r="I30" s="64" t="str">
        <f>IF(D30="TESTÉ – À ÉVALUER / TESTED – TO REVIEW",IF(Config!$B$3="FR","À ÉVALUER","TO REVIEW"),IF(D30="VALIDÉ / VALIDATED",IF(AND(E30&gt;0,F30&gt;0),IF(Config!$B$3="FR","COMPLÈTE","COMPLETE"),IF(Config!$B$3="FR","INCOMPLÈTE","INCOMPLETE")),IF(D30="REJETÉ / REJECTED",IF(Config!$B$3="FR","REJETÉ","REJECTED"),"—")))</f>
        <v>—</v>
      </c>
      <c r="J30" s="75"/>
      <c r="K30" s="67"/>
      <c r="L30" s="67"/>
      <c r="M30" s="68" t="s">
        <v>74</v>
      </c>
    </row>
    <row r="31" spans="1:13" ht="34" customHeight="1">
      <c r="A31" s="55" t="s">
        <v>75</v>
      </c>
      <c r="B31" s="55" t="s">
        <v>71</v>
      </c>
      <c r="C31" s="55" t="s">
        <v>57</v>
      </c>
      <c r="D31" s="63" t="s">
        <v>33</v>
      </c>
      <c r="E31" s="56"/>
      <c r="F31" s="56"/>
      <c r="G31" s="80" t="s">
        <v>45</v>
      </c>
      <c r="H31" s="80" t="s">
        <v>46</v>
      </c>
      <c r="I31" s="64" t="str">
        <f>IF(D31="TESTÉ – À ÉVALUER / TESTED – TO REVIEW",IF(Config!$B$3="FR","À ÉVALUER","TO REVIEW"),IF(D31="VALIDÉ / VALIDATED",IF(AND(E31&gt;0,F31&gt;0),IF(Config!$B$3="FR","COMPLÈTE","COMPLETE"),IF(Config!$B$3="FR","INCOMPLÈTE","INCOMPLETE")),IF(D31="REJETÉ / REJECTED",IF(Config!$B$3="FR","REJETÉ","REJECTED"),"—")))</f>
        <v>—</v>
      </c>
      <c r="J31" s="75"/>
      <c r="K31" s="67"/>
      <c r="L31" s="67"/>
      <c r="M31" s="68" t="s">
        <v>76</v>
      </c>
    </row>
    <row r="32" spans="1:13" ht="34" customHeight="1">
      <c r="A32" s="57" t="s">
        <v>77</v>
      </c>
      <c r="B32" s="57" t="s">
        <v>78</v>
      </c>
      <c r="C32" s="57" t="s">
        <v>32</v>
      </c>
      <c r="D32" s="63" t="s">
        <v>33</v>
      </c>
      <c r="E32" s="56"/>
      <c r="F32" s="56"/>
      <c r="G32" s="80" t="s">
        <v>45</v>
      </c>
      <c r="H32" s="80" t="s">
        <v>46</v>
      </c>
      <c r="I32" s="64" t="str">
        <f>IF(D32="TESTÉ – À ÉVALUER / TESTED – TO REVIEW",IF(Config!$B$3="FR","À ÉVALUER","TO REVIEW"),IF(D32="VALIDÉ / VALIDATED",IF(AND(E32&gt;0,F32&gt;0),IF(Config!$B$3="FR","COMPLÈTE","COMPLETE"),IF(Config!$B$3="FR","INCOMPLÈTE","INCOMPLETE")),IF(D32="REJETÉ / REJECTED",IF(Config!$B$3="FR","REJETÉ","REJECTED"),"—")))</f>
        <v>—</v>
      </c>
      <c r="J32" s="67"/>
      <c r="K32" s="67"/>
      <c r="L32" s="67"/>
      <c r="M32" s="68" t="s">
        <v>79</v>
      </c>
    </row>
    <row r="33" spans="1:13" ht="34" customHeight="1">
      <c r="A33" s="55" t="s">
        <v>80</v>
      </c>
      <c r="B33" s="55" t="s">
        <v>78</v>
      </c>
      <c r="C33" s="55" t="s">
        <v>44</v>
      </c>
      <c r="D33" s="63" t="s">
        <v>33</v>
      </c>
      <c r="E33" s="56"/>
      <c r="F33" s="56"/>
      <c r="G33" s="80" t="s">
        <v>45</v>
      </c>
      <c r="H33" s="80" t="s">
        <v>46</v>
      </c>
      <c r="I33" s="64" t="str">
        <f>IF(D33="TESTÉ – À ÉVALUER / TESTED – TO REVIEW",IF(Config!$B$3="FR","À ÉVALUER","TO REVIEW"),IF(D33="VALIDÉ / VALIDATED",IF(AND(E33&gt;0,F33&gt;0),IF(Config!$B$3="FR","COMPLÈTE","COMPLETE"),IF(Config!$B$3="FR","INCOMPLÈTE","INCOMPLETE")),IF(D33="REJETÉ / REJECTED",IF(Config!$B$3="FR","REJETÉ","REJECTED"),"—")))</f>
        <v>—</v>
      </c>
      <c r="J33" s="67"/>
      <c r="K33" s="67"/>
      <c r="L33" s="67"/>
      <c r="M33" s="68" t="s">
        <v>81</v>
      </c>
    </row>
    <row r="34" spans="1:13" ht="34" customHeight="1">
      <c r="A34" s="57" t="s">
        <v>82</v>
      </c>
      <c r="B34" s="57" t="s">
        <v>78</v>
      </c>
      <c r="C34" s="57" t="s">
        <v>57</v>
      </c>
      <c r="D34" s="63" t="s">
        <v>33</v>
      </c>
      <c r="E34" s="56"/>
      <c r="F34" s="56"/>
      <c r="G34" s="80" t="s">
        <v>45</v>
      </c>
      <c r="H34" s="80" t="s">
        <v>46</v>
      </c>
      <c r="I34" s="64" t="str">
        <f>IF(D34="TESTÉ – À ÉVALUER / TESTED – TO REVIEW",IF(Config!$B$3="FR","À ÉVALUER","TO REVIEW"),IF(D34="VALIDÉ / VALIDATED",IF(AND(E34&gt;0,F34&gt;0),IF(Config!$B$3="FR","COMPLÈTE","COMPLETE"),IF(Config!$B$3="FR","INCOMPLÈTE","INCOMPLETE")),IF(D34="REJETÉ / REJECTED",IF(Config!$B$3="FR","REJETÉ","REJECTED"),"—")))</f>
        <v>—</v>
      </c>
      <c r="J34" s="67"/>
      <c r="K34" s="67"/>
      <c r="L34" s="67"/>
      <c r="M34" s="68" t="s">
        <v>83</v>
      </c>
    </row>
    <row r="35" spans="1:13" ht="15">
      <c r="J35" s="67"/>
      <c r="K35" s="67"/>
      <c r="L35" s="67"/>
      <c r="M35" s="68"/>
    </row>
    <row r="36" spans="1:13" ht="15">
      <c r="A36" s="94" t="str">
        <f>IF(Config!$B$3="FR","Le statut essai Q17 pilote le moteur. Les notes FR/EN sont uniquement descriptives. Seul VALIDÉ / VALIDATED avec R14 et R15 testées renseignées remplace les valeurs théoriques.","Q17 test status drives the engine. FR/EN notes are descriptive only. Only VALIDÉ / VALIDATED with both tested R14 and R15 filled in overrides the theoretical values.")</f>
        <v>Q17 test status drives the engine. FR/EN notes are descriptive only. Only VALIDÉ / VALIDATED with both tested R14 and R15 filled in overrides the theoretical values.</v>
      </c>
      <c r="B36" s="94"/>
      <c r="C36" s="94"/>
      <c r="D36" s="94"/>
      <c r="E36" s="94"/>
      <c r="F36" s="94"/>
      <c r="G36" s="94"/>
      <c r="H36" s="94"/>
      <c r="I36" s="94"/>
      <c r="J36" s="67"/>
      <c r="K36" s="67"/>
      <c r="L36" s="67"/>
      <c r="M36" s="68"/>
    </row>
  </sheetData>
  <mergeCells count="16">
    <mergeCell ref="A36:I36"/>
    <mergeCell ref="A1:J1"/>
    <mergeCell ref="A2:J2"/>
    <mergeCell ref="A4:J4"/>
    <mergeCell ref="A15:J15"/>
    <mergeCell ref="H3:J3"/>
    <mergeCell ref="B5:C5"/>
    <mergeCell ref="B6:C6"/>
    <mergeCell ref="B7:C7"/>
    <mergeCell ref="B8:C8"/>
    <mergeCell ref="B9:C9"/>
    <mergeCell ref="B10:C10"/>
    <mergeCell ref="B11:C11"/>
    <mergeCell ref="B12:C12"/>
    <mergeCell ref="B3:C3"/>
    <mergeCell ref="E3:F3"/>
  </mergeCells>
  <conditionalFormatting sqref="B12">
    <cfRule type="expression" dxfId="43" priority="35">
      <formula>LEFT(B12,1)="C"</formula>
    </cfRule>
    <cfRule type="expression" dxfId="42" priority="34">
      <formula>LEFT(B12,1)="B"</formula>
    </cfRule>
    <cfRule type="expression" dxfId="41" priority="33">
      <formula>LEFT(B12,1)="A"</formula>
    </cfRule>
    <cfRule type="expression" dxfId="40" priority="36">
      <formula>LEFT(B12,1)="X"</formula>
    </cfRule>
  </conditionalFormatting>
  <conditionalFormatting sqref="D17:D28">
    <cfRule type="expression" dxfId="39" priority="14">
      <formula>D17="NON TESTÉ / NOT TESTED"</formula>
    </cfRule>
  </conditionalFormatting>
  <conditionalFormatting sqref="D17:D34">
    <cfRule type="expression" dxfId="38" priority="11">
      <formula>D17="VALIDÉ / VALIDATED"</formula>
    </cfRule>
    <cfRule type="expression" dxfId="37" priority="12">
      <formula>D17="TESTÉ – À ÉVALUER / TESTED – TO REVIEW"</formula>
    </cfRule>
    <cfRule type="expression" dxfId="36" priority="13">
      <formula>D17="REJETÉ / REJECTED"</formula>
    </cfRule>
  </conditionalFormatting>
  <conditionalFormatting sqref="D29:D34">
    <cfRule type="expression" dxfId="35" priority="23">
      <formula>D29="NON TESTÉ / NOT TESTED"</formula>
    </cfRule>
  </conditionalFormatting>
  <conditionalFormatting sqref="D14:J14">
    <cfRule type="colorScale" priority="3">
      <colorScale>
        <cfvo type="min"/>
        <cfvo type="percentile" val="50"/>
        <cfvo type="max"/>
        <color rgb="FFFCE4D6"/>
        <color rgb="FFFFF2CC"/>
        <color rgb="FFE2F0D9"/>
      </colorScale>
    </cfRule>
  </conditionalFormatting>
  <conditionalFormatting sqref="I17:I28">
    <cfRule type="expression" dxfId="34" priority="19">
      <formula>I17="—"</formula>
    </cfRule>
    <cfRule type="expression" dxfId="33" priority="18">
      <formula>OR(I17="REJETÉ",I17="REJECTED")</formula>
    </cfRule>
    <cfRule type="expression" dxfId="32" priority="17">
      <formula>OR(I17="À ÉVALUER",I17="TO REVIEW")</formula>
    </cfRule>
    <cfRule type="expression" dxfId="31" priority="16">
      <formula>OR(I17="INCOMPLÈTE",I17="INCOMPLETE")</formula>
    </cfRule>
    <cfRule type="expression" dxfId="30" priority="15">
      <formula>OR(I17="COMPLÈTE",I17="COMPLETE")</formula>
    </cfRule>
  </conditionalFormatting>
  <conditionalFormatting sqref="I29:I34">
    <cfRule type="expression" dxfId="29" priority="25">
      <formula>OR(I29="INCOMPLÈTE",I29="INCOMPLETE")</formula>
    </cfRule>
    <cfRule type="expression" dxfId="28" priority="26">
      <formula>OR(I29="À ÉVALUER",I29="TO REVIEW")</formula>
    </cfRule>
    <cfRule type="expression" dxfId="27" priority="27">
      <formula>OR(I29="REJETÉ",I29="REJECTED")</formula>
    </cfRule>
    <cfRule type="expression" dxfId="26" priority="28">
      <formula>I29="—"</formula>
    </cfRule>
    <cfRule type="expression" dxfId="25" priority="24">
      <formula>OR(I29="COMPLÈTE",I29="COMPLETE")</formula>
    </cfRule>
  </conditionalFormatting>
  <conditionalFormatting sqref="J6:J7">
    <cfRule type="expression" dxfId="24" priority="4">
      <formula>J6="OK"</formula>
    </cfRule>
  </conditionalFormatting>
  <conditionalFormatting sqref="J10">
    <cfRule type="expression" dxfId="23" priority="29">
      <formula>LEFT(J10,1)="A"</formula>
    </cfRule>
    <cfRule type="expression" dxfId="22" priority="30">
      <formula>LEFT(J10,1)="B"</formula>
    </cfRule>
    <cfRule type="expression" dxfId="21" priority="31">
      <formula>LEFT(J10,1)="C"</formula>
    </cfRule>
    <cfRule type="expression" dxfId="20" priority="32">
      <formula>LEFT(J10,1)="X"</formula>
    </cfRule>
  </conditionalFormatting>
  <dataValidations count="2">
    <dataValidation type="list" sqref="D17:D34" xr:uid="{00000000-0002-0000-0100-000000000000}">
      <formula1>"NON TESTÉ / NOT TESTED,TESTÉ – À ÉVALUER / TESTED – TO REVIEW,VALIDÉ / VALIDATED,REJETÉ / REJECTED"</formula1>
    </dataValidation>
    <dataValidation type="list" sqref="B3" xr:uid="{00000000-0002-0000-0100-000001000000}">
      <formula1>$M$17:$M$34</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22"/>
  <sheetViews>
    <sheetView workbookViewId="0"/>
  </sheetViews>
  <sheetFormatPr baseColWidth="10" defaultColWidth="8.83203125" defaultRowHeight="14"/>
  <cols>
    <col min="1" max="3" width="18" customWidth="1"/>
    <col min="4" max="6" width="12" customWidth="1"/>
    <col min="7" max="7" width="38" customWidth="1"/>
    <col min="8" max="65" width="12" customWidth="1"/>
  </cols>
  <sheetData>
    <row r="1" spans="1:86" ht="18">
      <c r="A1" s="92" t="s">
        <v>84</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2"/>
      <c r="BD1" s="2"/>
      <c r="BE1" s="2"/>
      <c r="BF1" s="2"/>
      <c r="BG1" s="2"/>
      <c r="BH1" s="2"/>
      <c r="BI1" s="2"/>
      <c r="BJ1" s="2"/>
      <c r="BK1" s="2"/>
      <c r="BL1" s="2"/>
      <c r="BM1" s="2"/>
    </row>
    <row r="2" spans="1:86" ht="15">
      <c r="A2" s="93" t="s">
        <v>85</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2"/>
      <c r="BD2" s="2"/>
      <c r="BE2" s="2"/>
      <c r="BF2" s="2"/>
      <c r="BG2" s="2"/>
      <c r="BH2" s="2"/>
      <c r="BI2" s="2"/>
      <c r="BJ2" s="2"/>
      <c r="BK2" s="2"/>
      <c r="BL2" s="2"/>
      <c r="BM2" s="2"/>
    </row>
    <row r="3" spans="1:86">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row>
    <row r="4" spans="1:86" ht="64">
      <c r="A4" s="1" t="s">
        <v>86</v>
      </c>
      <c r="B4" s="1" t="s">
        <v>18</v>
      </c>
      <c r="C4" s="1" t="s">
        <v>20</v>
      </c>
      <c r="D4" s="1" t="s">
        <v>87</v>
      </c>
      <c r="E4" s="1" t="s">
        <v>88</v>
      </c>
      <c r="F4" s="1" t="s">
        <v>89</v>
      </c>
      <c r="G4" s="1" t="s">
        <v>90</v>
      </c>
      <c r="H4" s="1" t="s">
        <v>91</v>
      </c>
      <c r="I4" s="1" t="s">
        <v>92</v>
      </c>
      <c r="J4" s="1" t="s">
        <v>93</v>
      </c>
      <c r="K4" s="1" t="s">
        <v>94</v>
      </c>
      <c r="L4" s="1" t="s">
        <v>95</v>
      </c>
      <c r="M4" s="1" t="s">
        <v>96</v>
      </c>
      <c r="N4" s="1" t="s">
        <v>97</v>
      </c>
      <c r="O4" s="1" t="s">
        <v>98</v>
      </c>
      <c r="P4" s="1" t="s">
        <v>99</v>
      </c>
      <c r="Q4" s="1" t="s">
        <v>100</v>
      </c>
      <c r="R4" s="1" t="s">
        <v>101</v>
      </c>
      <c r="S4" s="1" t="s">
        <v>102</v>
      </c>
      <c r="T4" s="1" t="s">
        <v>103</v>
      </c>
      <c r="U4" s="1" t="s">
        <v>104</v>
      </c>
      <c r="V4" s="1" t="s">
        <v>105</v>
      </c>
      <c r="W4" s="1" t="s">
        <v>106</v>
      </c>
      <c r="X4" s="1" t="s">
        <v>107</v>
      </c>
      <c r="Y4" s="1" t="s">
        <v>108</v>
      </c>
      <c r="Z4" s="1" t="s">
        <v>109</v>
      </c>
      <c r="AA4" s="1" t="s">
        <v>110</v>
      </c>
      <c r="AB4" s="1" t="s">
        <v>111</v>
      </c>
      <c r="AC4" s="1" t="s">
        <v>112</v>
      </c>
      <c r="AD4" s="1" t="s">
        <v>113</v>
      </c>
      <c r="AE4" s="1" t="s">
        <v>114</v>
      </c>
      <c r="AF4" s="1" t="s">
        <v>115</v>
      </c>
      <c r="AG4" s="1" t="s">
        <v>116</v>
      </c>
      <c r="AH4" s="1" t="s">
        <v>117</v>
      </c>
      <c r="AI4" s="1" t="s">
        <v>118</v>
      </c>
      <c r="AJ4" s="1" t="s">
        <v>119</v>
      </c>
      <c r="AK4" s="1" t="s">
        <v>120</v>
      </c>
      <c r="AL4" s="1" t="s">
        <v>121</v>
      </c>
      <c r="AM4" s="1" t="s">
        <v>122</v>
      </c>
      <c r="AN4" s="1" t="s">
        <v>123</v>
      </c>
      <c r="AO4" s="1" t="s">
        <v>124</v>
      </c>
      <c r="AP4" s="1" t="s">
        <v>125</v>
      </c>
      <c r="AQ4" s="1" t="s">
        <v>126</v>
      </c>
      <c r="AR4" s="1" t="s">
        <v>127</v>
      </c>
      <c r="AS4" s="1" t="s">
        <v>128</v>
      </c>
      <c r="AT4" s="1" t="s">
        <v>129</v>
      </c>
      <c r="AU4" s="1" t="s">
        <v>130</v>
      </c>
      <c r="AV4" s="1" t="s">
        <v>131</v>
      </c>
      <c r="AW4" s="1" t="s">
        <v>132</v>
      </c>
      <c r="AX4" s="1" t="s">
        <v>133</v>
      </c>
      <c r="AY4" s="1" t="s">
        <v>134</v>
      </c>
      <c r="AZ4" s="1" t="s">
        <v>135</v>
      </c>
      <c r="BA4" s="1" t="s">
        <v>136</v>
      </c>
      <c r="BB4" s="1" t="s">
        <v>137</v>
      </c>
      <c r="BC4" s="1" t="s">
        <v>138</v>
      </c>
      <c r="BD4" s="1" t="s">
        <v>139</v>
      </c>
      <c r="BE4" s="1" t="s">
        <v>140</v>
      </c>
      <c r="BF4" s="1" t="s">
        <v>141</v>
      </c>
      <c r="BG4" s="1" t="s">
        <v>142</v>
      </c>
      <c r="BH4" s="1" t="s">
        <v>143</v>
      </c>
      <c r="BI4" s="16" t="s">
        <v>144</v>
      </c>
      <c r="BJ4" s="16" t="s">
        <v>145</v>
      </c>
      <c r="BK4" s="16" t="s">
        <v>146</v>
      </c>
      <c r="BL4" s="16" t="s">
        <v>147</v>
      </c>
      <c r="BM4" s="16" t="s">
        <v>148</v>
      </c>
      <c r="BN4" s="16" t="s">
        <v>149</v>
      </c>
      <c r="BO4" s="16" t="s">
        <v>150</v>
      </c>
      <c r="BP4" s="16" t="s">
        <v>151</v>
      </c>
      <c r="BQ4" s="16" t="s">
        <v>152</v>
      </c>
      <c r="BR4" s="16" t="s">
        <v>153</v>
      </c>
      <c r="BS4" s="16" t="s">
        <v>154</v>
      </c>
      <c r="BT4" s="16" t="s">
        <v>155</v>
      </c>
      <c r="BU4" s="16" t="s">
        <v>156</v>
      </c>
      <c r="BV4" s="16" t="s">
        <v>157</v>
      </c>
      <c r="BW4" s="16" t="s">
        <v>158</v>
      </c>
      <c r="BX4" s="16" t="s">
        <v>159</v>
      </c>
      <c r="BY4" s="16" t="s">
        <v>160</v>
      </c>
      <c r="BZ4" s="16" t="s">
        <v>161</v>
      </c>
      <c r="CA4" s="16" t="s">
        <v>162</v>
      </c>
      <c r="CB4" s="16" t="s">
        <v>163</v>
      </c>
      <c r="CC4" s="16" t="s">
        <v>164</v>
      </c>
      <c r="CD4" s="21" t="s">
        <v>165</v>
      </c>
      <c r="CE4" s="21" t="s">
        <v>166</v>
      </c>
      <c r="CF4" s="21" t="s">
        <v>167</v>
      </c>
      <c r="CG4" s="21" t="s">
        <v>168</v>
      </c>
      <c r="CH4" s="21" t="s">
        <v>169</v>
      </c>
    </row>
    <row r="5" spans="1:86" ht="60">
      <c r="A5" s="2" t="s">
        <v>30</v>
      </c>
      <c r="B5" s="2" t="s">
        <v>31</v>
      </c>
      <c r="C5" s="2" t="s">
        <v>32</v>
      </c>
      <c r="D5" s="2" t="str">
        <f>IFERROR(VLOOKUP(A5,Selection!$A$17:$I$28,4,FALSE),"NON TESTÉ / NOT TESTED")</f>
        <v>NON TESTÉ / NOT TESTED</v>
      </c>
      <c r="E5" s="2">
        <f>IFERROR(VLOOKUP(A5,Selection!$A$17:$I$28,5,FALSE),"")</f>
        <v>0</v>
      </c>
      <c r="F5" s="2">
        <f>IFERROR(VLOOKUP(A5,Selection!$A$17:$I$28,6,FALSE),"")</f>
        <v>0</v>
      </c>
      <c r="G5" s="2" t="str">
        <f>IF(Config!$B$3="FR",IFERROR(T(VLOOKUP(A5,Selection!$A$17:$I$28,7,FALSE)),""),IF(IFERROR(T(VLOOKUP(A5,Selection!$A$17:$I$28,8,FALSE)),"")&lt;&gt;"",IFERROR(T(VLOOKUP(A5,Selection!$A$17:$I$28,8,FALSE)),""),IFERROR(T(VLOOKUP(A5,Selection!$A$17:$I$28,7,FALSE)),"")))</f>
        <v>Historical / default configuration.</v>
      </c>
      <c r="H5" s="2">
        <f>IFERROR(VLOOKUP($B5,MOSFET!$A$2:$Q$11,5,FALSE),"")</f>
        <v>150</v>
      </c>
      <c r="I5" s="2">
        <f>IFERROR(VLOOKUP($C5,MOSFET!$A$2:$Q$11,5,FALSE),"")</f>
        <v>150</v>
      </c>
      <c r="J5" s="2">
        <f>IFERROR(VLOOKUP($B5,MOSFET!$A$2:$Q$11,6,FALSE),"")</f>
        <v>50</v>
      </c>
      <c r="K5" s="2">
        <f>IFERROR(VLOOKUP($C5,MOSFET!$A$2:$Q$11,6,FALSE),"")</f>
        <v>36</v>
      </c>
      <c r="L5" s="2">
        <f>IFERROR(VLOOKUP($B5,MOSFET!$A$2:$Q$11,7,FALSE),"")</f>
        <v>2500</v>
      </c>
      <c r="M5" s="2">
        <f>IFERROR(VLOOKUP($C5,MOSFET!$A$2:$Q$11,7,FALSE),"")</f>
        <v>2550</v>
      </c>
      <c r="N5" s="2">
        <f>IFERROR(VLOOKUP($B5,MOSFET!$A$2:$Q$11,8,FALSE),"")</f>
        <v>520</v>
      </c>
      <c r="O5" s="2">
        <f>IFERROR(VLOOKUP($C5,MOSFET!$A$2:$Q$11,8,FALSE),"")</f>
        <v>710</v>
      </c>
      <c r="P5" s="2">
        <f>IFERROR(VLOOKUP($B5,MOSFET!$A$2:$Q$11,9,FALSE),"")</f>
        <v>100</v>
      </c>
      <c r="Q5" s="2">
        <f>IFERROR(VLOOKUP($C5,MOSFET!$A$2:$Q$11,9,FALSE),"")</f>
        <v>110</v>
      </c>
      <c r="R5" s="2">
        <f>IFERROR(VLOOKUP($B5,MOSFET!$A$2:$Q$11,10,FALSE),"")</f>
        <v>36</v>
      </c>
      <c r="S5" s="2">
        <f>IFERROR(VLOOKUP($C5,MOSFET!$A$2:$Q$11,10,FALSE),"")</f>
        <v>19.5</v>
      </c>
      <c r="T5" s="2">
        <f>IFERROR(VLOOKUP($B5,MOSFET!$A$2:$Q$11,11,FALSE),"")</f>
        <v>25</v>
      </c>
      <c r="U5" s="2">
        <f>IFERROR(VLOOKUP($C5,MOSFET!$A$2:$Q$11,11,FALSE),"")</f>
        <v>18</v>
      </c>
      <c r="V5" s="2">
        <f>IFERROR(VLOOKUP($B5,MOSFET!$A$2:$Q$11,12,FALSE),0)</f>
        <v>0</v>
      </c>
      <c r="W5" s="2">
        <f>IFERROR(VLOOKUP($C5,MOSFET!$A$2:$Q$11,12,FALSE),0)</f>
        <v>0</v>
      </c>
      <c r="X5" s="2">
        <f>IFERROR(VLOOKUP($B5,MOSFET!$A$2:$Q$11,13,FALSE),"")</f>
        <v>85</v>
      </c>
      <c r="Y5" s="2">
        <f>IFERROR(VLOOKUP($C5,MOSFET!$A$2:$Q$11,13,FALSE),"")</f>
        <v>81</v>
      </c>
      <c r="Z5" s="2">
        <f>IFERROR(VLOOKUP($B5,MOSFET!$A$2:$Q$11,16,FALSE),"")</f>
        <v>4.2</v>
      </c>
      <c r="AA5" s="2">
        <f>IFERROR(VLOOKUP($C5,MOSFET!$A$2:$Q$11,16,FALSE),"")</f>
        <v>4.3</v>
      </c>
      <c r="AB5" s="9">
        <f>IFERROR(R5*SQRT(Config!$B$13/T5),"")</f>
        <v>12.727922061357857</v>
      </c>
      <c r="AC5" s="9">
        <f>IFERROR(S5*SQRT(Config!$B$13/U5),"")</f>
        <v>8.125</v>
      </c>
      <c r="AD5" s="9">
        <f>IFERROR((1/(2*PI()))*SQRT((1+AB5*Config!$B$12)/(Config!$B$14*0.000000001*L5*0.000000000001))/1000000,"")</f>
        <v>186.35258885739466</v>
      </c>
      <c r="AE5" s="9">
        <f>IFERROR((1/(2*PI()))*SQRT((1+AC5*Config!$B$12)/(Config!$B$14*0.000000001*M5*0.000000000001))/1000000,"")</f>
        <v>147.82959321035662</v>
      </c>
      <c r="AF5" s="9">
        <f>IFERROR((AB5*N5*Config!$B$12^2/L5)/(1+(2*PI()*AD5*1000000*N5*0.000000000001*Config!$B$12)^2),"")</f>
        <v>6.852577005052809</v>
      </c>
      <c r="AG5" s="9">
        <f>IFERROR((AC5*O5*Config!$B$12^2/M5)/(1+(2*PI()*AE5*1000000*O5*0.000000000001*Config!$B$12)^2),"")</f>
        <v>5.0212655765315954</v>
      </c>
      <c r="AH5" s="9">
        <f>IF(AF5="","",MAX(0,Config!$B$16*AF5-V5-Config!$B$15))</f>
        <v>9.5936078070739317</v>
      </c>
      <c r="AI5" s="9">
        <f>IF(AG5="","",MAX(0,Config!$B$16*AG5-W5-Config!$B$15))</f>
        <v>7.0297718071442334</v>
      </c>
      <c r="AJ5" s="2">
        <f>IF(AH5="","",IF(AH5&lt;=10,10,IF(AH5&gt;=10000,10000,IF(VLOOKUP(AH5,Notes!$F$2:$G$74,1,TRUE)=AH5,AH5,VLOOKUP(AH5,Notes!$F$2:$G$74,2,TRUE)))))</f>
        <v>10</v>
      </c>
      <c r="AK5" s="2">
        <f>IF(AI5="","",IF(AI5&lt;=10,10,IF(AI5&gt;=10000,10000,IF(VLOOKUP(AI5,Notes!$F$2:$G$74,1,TRUE)=AI5,AI5,VLOOKUP(AI5,Notes!$F$2:$G$74,2,TRUE)))))</f>
        <v>10</v>
      </c>
      <c r="AL5" s="10">
        <f t="shared" ref="AL5:AL16" si="0">IFERROR(1/(2*PI()*AJ5*L5*0.000000000001)/1000000,"")</f>
        <v>6.366197723675814</v>
      </c>
      <c r="AM5" s="10">
        <f t="shared" ref="AM5:AM16" si="1">IFERROR(1/(2*PI()*AK5*M5*0.000000000001)/1000000,"")</f>
        <v>6.2413703173292285</v>
      </c>
      <c r="AN5" s="10">
        <f t="shared" ref="AN5:AN16" si="2">IF(OR(AL5="",AM5=""),"",MIN(AL5,AM5))</f>
        <v>6.2413703173292285</v>
      </c>
      <c r="AO5" s="2">
        <f t="shared" ref="AO5:AO16" si="3">IFERROR(1/(2*PI()*AN5*1000000*L5*0.000000000001),"")</f>
        <v>10.199999999999999</v>
      </c>
      <c r="AP5" s="2">
        <f t="shared" ref="AP5:AP16" si="4">IFERROR(1/(2*PI()*AN5*1000000*M5*0.000000000001),"")</f>
        <v>10</v>
      </c>
      <c r="AQ5" s="2">
        <f>IF(AO5="","",IF(MAX(AH5,AO5)&lt;=10,10,IF(MAX(AH5,AO5)&gt;=10000,10000,IF(VLOOKUP(MAX(AH5,AO5),Notes!$F$2:$G$74,1,TRUE)=MAX(AH5,AO5),MAX(AH5,AO5),VLOOKUP(MAX(AH5,AO5),Notes!$F$2:$G$74,2,TRUE)))))</f>
        <v>11</v>
      </c>
      <c r="AR5" s="2">
        <f>IF(AP5="","",IF(MAX(AI5,AP5)&lt;=10,10,IF(MAX(AI5,AP5)&gt;=10000,10000,IF(VLOOKUP(MAX(AI5,AP5),Notes!$F$2:$G$74,1,TRUE)=MAX(AI5,AP5),MAX(AI5,AP5),VLOOKUP(MAX(AI5,AP5),Notes!$F$2:$G$74,2,TRUE)))))</f>
        <v>10</v>
      </c>
      <c r="AS5" s="9">
        <f>IFERROR(P5+(L5-P5)/(1+AB5*Config!$B$12),"")</f>
        <v>123.34099581152415</v>
      </c>
      <c r="AT5" s="9">
        <f>IFERROR(Q5+(M5-Q5)/(1+AC5*Config!$B$12),"")</f>
        <v>146.96969696969697</v>
      </c>
      <c r="AU5" s="9">
        <f>IFERROR(MAX(0,MIN(TAN(RADIANS(Config!$B$21))/(2*PI()*Config!$B$20*1000*AS5*0.000000000001)-V5-Config!$B$15,SQRT(10^(Config!$B$22/10)-1)/(2*PI()*Config!$B$20*1000*AS5*0.000000000001)-V5-Config!$B$15)),"")</f>
        <v>1128.9233699662918</v>
      </c>
      <c r="AV5" s="9">
        <f>IFERROR(MAX(0,MIN(TAN(RADIANS(Config!$B$21))/(2*PI()*Config!$B$20*1000*AT5*0.000000000001)-W5-Config!$B$15,SQRT(10^(Config!$B$22/10)-1)/(2*PI()*Config!$B$20*1000*AT5*0.000000000001)-W5-Config!$B$15)),"")</f>
        <v>947.4234180074136</v>
      </c>
      <c r="AW5" s="2">
        <f>IF(AU5="","",IF(AU5&lt;10,"&lt;10",IF(AU5&gt;=10000,10000,VLOOKUP(AU5,Notes!$F$2:$G$74,1,TRUE))))</f>
        <v>1100</v>
      </c>
      <c r="AX5" s="2">
        <f>IF(AV5="","",IF(AV5&lt;10,"&lt;10",IF(AV5&gt;=10000,10000,VLOOKUP(AV5,Notes!$F$2:$G$74,1,TRUE))))</f>
        <v>910</v>
      </c>
      <c r="AY5" s="2">
        <f>IFERROR(IF((IF(Config!$B$8="R14",Config!$B$9,Config!$B$9*CC5/CB5))&lt;=10,10,IF((IF(Config!$B$8="R14",Config!$B$9,Config!$B$9*CC5/CB5))&gt;=10000,10000,IF(ABS((IF(Config!$B$8="R14",Config!$B$9,Config!$B$9*CC5/CB5))-VLOOKUP((IF(Config!$B$8="R14",Config!$B$9,Config!$B$9*CC5/CB5)),Notes!$F$2:$G$74,1,TRUE))&lt;=ABS(VLOOKUP((IF(Config!$B$8="R14",Config!$B$9,Config!$B$9*CC5/CB5)),Notes!$F$2:$G$74,2,TRUE)-(IF(Config!$B$8="R14",Config!$B$9,Config!$B$9*CC5/CB5))),VLOOKUP((IF(Config!$B$8="R14",Config!$B$9,Config!$B$9*CC5/CB5)),Notes!$F$2:$G$74,1,TRUE),VLOOKUP((IF(Config!$B$8="R14",Config!$B$9,Config!$B$9*CC5/CB5)),Notes!$F$2:$G$74,2,TRUE)))),"")</f>
        <v>100</v>
      </c>
      <c r="AZ5" s="2">
        <f>IFERROR(IF((IF(Config!$B$8="R15",Config!$B$9,Config!$B$9*CB5/CC5))&lt;=10,10,IF((IF(Config!$B$8="R15",Config!$B$9,Config!$B$9*CB5/CC5))&gt;=10000,10000,IF(ABS((IF(Config!$B$8="R15",Config!$B$9,Config!$B$9*CB5/CC5))-VLOOKUP((IF(Config!$B$8="R15",Config!$B$9,Config!$B$9*CB5/CC5)),Notes!$F$2:$G$74,1,TRUE))&lt;=ABS(VLOOKUP((IF(Config!$B$8="R15",Config!$B$9,Config!$B$9*CB5/CC5)),Notes!$F$2:$G$74,2,TRUE)-(IF(Config!$B$8="R15",Config!$B$9,Config!$B$9*CB5/CC5))),VLOOKUP((IF(Config!$B$8="R15",Config!$B$9,Config!$B$9*CB5/CC5)),Notes!$F$2:$G$74,1,TRUE),VLOOKUP((IF(Config!$B$8="R15",Config!$B$9,Config!$B$9*CB5/CC5)),Notes!$F$2:$G$74,2,TRUE)))),"")</f>
        <v>100</v>
      </c>
      <c r="BA5" s="2" t="str">
        <f>IF(OR(AW5="&lt;10",AX5="&lt;10"),"NO",IF(AND(AY5&gt;=AJ5,AY5&lt;=AW5,AZ5&gt;=AK5,AZ5&lt;=AX5,ABS(1/(AY5*L5)-1/(AZ5*M5))/MIN(1/(AY5*L5),1/(AZ5*M5))&lt;=Config!$B$19),"YES","NO"))</f>
        <v>YES</v>
      </c>
      <c r="BB5" s="18">
        <f t="shared" ref="BB5:BB16" si="5">IF(AND(D5="VALIDÉ / VALIDATED",E5&gt;0,F5&gt;0),E5,IF(BA5="YES",AY5,AQ5))</f>
        <v>100</v>
      </c>
      <c r="BC5" s="18">
        <f t="shared" ref="BC5:BC16" si="6">IF(AND(D5="VALIDÉ / VALIDATED",E5&gt;0,F5&gt;0),F5,IF(BA5="YES",AZ5,AR5))</f>
        <v>100</v>
      </c>
      <c r="BD5" s="2" t="str">
        <f t="shared" ref="BD5:BD16" si="7">IF(AND(D5="VALIDÉ / VALIDATED",E5&gt;0,F5&gt;0),_xlfn.CONCAT("TEST Q",17),IF(BA5="YES","CIBLE INITIALE","CALCUL THÉORIQUE INITIAL"))</f>
        <v>CIBLE INITIALE</v>
      </c>
      <c r="BE5" s="11">
        <f t="shared" ref="BE5:BE16" si="8">IFERROR(ABS(BB5*CB5-BC5*CC5)/MIN(BB5*CB5,BC5*CC5),"")</f>
        <v>2.3076923076923078E-2</v>
      </c>
      <c r="BF5" s="2" t="str">
        <f>IF(B5="","",IF(VLOOKUP(B5,MOSFET!$A$2:$Q$11,2,FALSE)&lt;&gt;"N","NON – canal",IF(H5&lt;2*Config!$B$11*Config!$B$17,"NON – Vdss",IF(J5&lt;Config!$B$13*Config!$B$18,"NON – Id",IF(L5&gt;Config!$B$23,"NON – Ciss",IF(OR(L5="",P5="",X5="",BQ5="",R5="",T5="",Z5=""),"DONNÉES À COMPLÉTER","OK"))))))</f>
        <v>OK</v>
      </c>
      <c r="BG5" s="2" t="str">
        <f>IF(C5="","",IF(VLOOKUP(C5,MOSFET!$A$2:$Q$11,2,FALSE)&lt;&gt;"P","NON – canal",IF(I5&lt;2*Config!$B$11*Config!$B$17,"NON – Vdss",IF(K5&lt;Config!$B$13*Config!$B$18,"NON – Id",IF(M5&gt;Config!$B$23,"NON – Ciss",IF(OR(M5="",Q5="",Y5="",BR5="",S5="",U5="",AA5=""),"DONNÉES À COMPLÉTER","OK"))))))</f>
        <v>OK</v>
      </c>
      <c r="BH5" s="2" t="str">
        <f t="shared" ref="BH5:BH16" si="9">IF(OR(BF5&lt;&gt;"OK",BG5&lt;&gt;"OK"),"NON – aptitude MOSFET",IF(AND(D5="VALIDÉ / VALIDATED",E5&gt;0,F5&gt;0),_xlfn.CONCAT("OUI – Q",17," confirmé"),IF(BO5&gt;=0.82,"OUI – paire prioritaire / test scope requis",IF(BO5&gt;=0.74,"OUI – paire acceptable / test scope requis","À ÉVALUER – compatibilité faible"))))</f>
        <v>OUI – paire prioritaire / test scope requis</v>
      </c>
      <c r="BI5" s="11">
        <f>IFERROR((Config!$B$34*BY5+Config!$B$35*BZ5+Config!$B$36*CA5)/Config!$B$37,"")</f>
        <v>0.96651364720116728</v>
      </c>
      <c r="BJ5" s="11">
        <f t="shared" ref="BJ5:BJ16" si="10">IFERROR(MIN(BQ5,BR5)/MAX(BQ5,BR5),"")</f>
        <v>0.97619047619047616</v>
      </c>
      <c r="BK5" s="11">
        <f t="shared" ref="BK5:BK16" si="11">IFERROR(MIN(X5,Y5)/MAX(X5,Y5),"")</f>
        <v>0.95294117647058818</v>
      </c>
      <c r="BL5" s="11">
        <f t="shared" ref="BL5:BL16" si="12">IFERROR(MIN(AB5,AC5)/MAX(AB5,AC5),"")</f>
        <v>0.63836028857118865</v>
      </c>
      <c r="BM5" s="11">
        <f t="shared" ref="BM5:BM16" si="13">IFERROR(MIN(P5,Q5)/MAX(P5,Q5),"")</f>
        <v>0.90909090909090906</v>
      </c>
      <c r="BN5" s="7">
        <f t="shared" ref="BN5:BN16" si="14">IFERROR(MIN(Z5,AA5)/MAX(Z5,AA5),"")</f>
        <v>0.9767441860465117</v>
      </c>
      <c r="BO5" s="7">
        <f>IFERROR((Config!$B$25*BI5+Config!$B$26*BJ5+Config!$B$27*BK5+Config!$B$28*BL5+Config!$B$29*BM5+Config!$B$30*BN5)/Config!$B$31,"")</f>
        <v>0.91247091866845409</v>
      </c>
      <c r="BP5" s="17">
        <f t="shared" ref="BP5:BP16" si="15">IF(OR(BF5&lt;&gt;"OK",BG5&lt;&gt;"OK"),1,IF(BO5&gt;=0.9,5,IF(BO5&gt;=0.82,4,IF(BO5&gt;=0.74,3,IF(BO5&gt;=0.66,2,1)))))</f>
        <v>5</v>
      </c>
      <c r="BQ5" s="8">
        <f>IFERROR(VLOOKUP($B5,MOSFET!$A$2:$Q$11,14,FALSE),"")</f>
        <v>41</v>
      </c>
      <c r="BR5" s="8">
        <f>IFERROR(VLOOKUP($C5,MOSFET!$A$2:$Q$11,14,FALSE),"")</f>
        <v>42</v>
      </c>
      <c r="BS5" s="8">
        <f t="shared" ref="BS5:BS16" si="16">IFERROR(P5+(L5-P5)*(1-0),"")</f>
        <v>2500</v>
      </c>
      <c r="BT5" s="8">
        <f t="shared" ref="BT5:BT16" si="17">IFERROR(Q5+(M5-Q5)*(1-0),"")</f>
        <v>2550</v>
      </c>
      <c r="BU5" s="8">
        <f t="shared" ref="BU5:BU16" si="18">IFERROR(P5+(L5-P5)*(1-0.5),"")</f>
        <v>1300</v>
      </c>
      <c r="BV5" s="8">
        <f t="shared" ref="BV5:BV16" si="19">IFERROR(Q5+(M5-Q5)*(1-0.5),"")</f>
        <v>1330</v>
      </c>
      <c r="BW5" s="8">
        <f t="shared" ref="BW5:BW16" si="20">IFERROR(P5+(L5-P5)*(1-0.95),"")</f>
        <v>220.00000000000011</v>
      </c>
      <c r="BX5" s="8">
        <f t="shared" ref="BX5:BX16" si="21">IFERROR(Q5+(M5-Q5)*(1-0.95),"")</f>
        <v>232.00000000000011</v>
      </c>
      <c r="BY5" s="8">
        <f t="shared" ref="BY5:BY16" si="22">IFERROR(MIN(BS5,BT5)/MAX(BS5,BT5),"")</f>
        <v>0.98039215686274506</v>
      </c>
      <c r="BZ5" s="8">
        <f t="shared" ref="BZ5:BZ16" si="23">IFERROR(MIN(BU5,BV5)/MAX(BU5,BV5),"")</f>
        <v>0.97744360902255634</v>
      </c>
      <c r="CA5" s="8">
        <f t="shared" ref="CA5:CA16" si="24">IFERROR(MIN(BW5,BX5)/MAX(BW5,BX5),"")</f>
        <v>0.94827586206896552</v>
      </c>
      <c r="CB5" s="8">
        <f>IFERROR(P5+(L5-P5)*(1-Config!$B$39),"")</f>
        <v>1300</v>
      </c>
      <c r="CC5" s="8">
        <f>IFERROR(Q5+(M5-Q5)*(1-Config!$B$39),"")</f>
        <v>1330</v>
      </c>
      <c r="CD5" t="str">
        <f>IF(OR(BF5&lt;&gt;"OK",BG5&lt;&gt;"OK"),"X – INADAPTÉ",IF(AND(BI5&gt;=Config!$B$42,CE5&gt;=Config!$B$43,CF5=0),"A – TRÈS BON CANDIDAT",IF(AND(BI5&gt;=Config!$B$44,CE5&gt;=Config!$B$45,CF5=0),"B – BON CANDIDAT","C – À ÉTUDIER")))</f>
        <v>A – TRÈS BON CANDIDAT</v>
      </c>
      <c r="CE5" s="7">
        <f t="shared" ref="CE5:CE16" si="25">IFERROR(MIN(AY5,AZ5)/MAX(AY5,AZ5),"")</f>
        <v>1</v>
      </c>
      <c r="CF5">
        <f>--(BJ5&lt;Config!$B$46)+--(BK5&lt;Config!$B$47)+--(BL5&lt;Config!$B$47)+--(BM5&lt;Config!$B$47)+--(BN5&lt;Config!$B$48)</f>
        <v>0</v>
      </c>
      <c r="CG5" t="str">
        <f>IF(CF5=0,"Aucune",IF(BJ5&lt;Config!$B$46,"Qgd; ","")&amp;IF(BK5&lt;Config!$B$47,"Qg; ","")&amp;IF(BL5&lt;Config!$B$47,"gm; ","")&amp;IF(BM5&lt;Config!$B$47,"Crss; ","")&amp;IF(BN5&lt;Config!$B$48,"VGS; ",""))</f>
        <v>Aucune</v>
      </c>
      <c r="CH5" t="str">
        <f t="shared" ref="CH5:CH16" si="26">IF(D5="VALIDÉ / VALIDATED",IF(AND(E5&gt;0,F5&gt;0),"VALIDÉ R14/R15","VALIDATION INCOMPLÈTE"),IF(D5="TESTÉ – À ÉVALUER / TESTED – TO REVIEW","TESTÉ – À ÉVALUER",IF(D5="REJETÉ / REJECTED","REJETÉ","NON TESTÉ")))</f>
        <v>NON TESTÉ</v>
      </c>
    </row>
    <row r="6" spans="1:86" ht="30">
      <c r="A6" s="2" t="s">
        <v>37</v>
      </c>
      <c r="B6" s="2" t="s">
        <v>38</v>
      </c>
      <c r="C6" s="2" t="s">
        <v>32</v>
      </c>
      <c r="D6" s="2" t="str">
        <f>IFERROR(VLOOKUP(A6,Selection!$A$17:$I$28,4,FALSE),"NON TESTÉ / NOT TESTED")</f>
        <v>VALIDÉ / VALIDATED</v>
      </c>
      <c r="E6" s="2">
        <f>IFERROR(VLOOKUP(A6,Selection!$A$17:$I$28,5,FALSE),"")</f>
        <v>47</v>
      </c>
      <c r="F6" s="2">
        <f>IFERROR(VLOOKUP(A6,Selection!$A$17:$I$28,6,FALSE),"")</f>
        <v>47</v>
      </c>
      <c r="G6" s="2" t="str">
        <f>IF(Config!$B$3="FR",IFERROR(T(VLOOKUP(A6,Selection!$A$17:$I$28,7,FALSE)),""),IF(IFERROR(T(VLOOKUP(A6,Selection!$A$17:$I$28,8,FALSE)),"")&lt;&gt;"",IFERROR(T(VLOOKUP(A6,Selection!$A$17:$I$28,8,FALSE)),""),IFERROR(T(VLOOKUP(A6,Selection!$A$17:$I$28,7,FALSE)),"")))</f>
        <v>Test performed on PCB 3.0.4.</v>
      </c>
      <c r="H6" s="2">
        <f>IFERROR(VLOOKUP($B6,MOSFET!$A$2:$Q$11,5,FALSE),"")</f>
        <v>300</v>
      </c>
      <c r="I6" s="2">
        <f>IFERROR(VLOOKUP($C6,MOSFET!$A$2:$Q$11,5,FALSE),"")</f>
        <v>150</v>
      </c>
      <c r="J6" s="2">
        <f>IFERROR(VLOOKUP($B6,MOSFET!$A$2:$Q$11,6,FALSE),"")</f>
        <v>36</v>
      </c>
      <c r="K6" s="2">
        <f>IFERROR(VLOOKUP($C6,MOSFET!$A$2:$Q$11,6,FALSE),"")</f>
        <v>36</v>
      </c>
      <c r="L6" s="2">
        <f>IFERROR(VLOOKUP($B6,MOSFET!$A$2:$Q$11,7,FALSE),"")</f>
        <v>2250</v>
      </c>
      <c r="M6" s="2">
        <f>IFERROR(VLOOKUP($C6,MOSFET!$A$2:$Q$11,7,FALSE),"")</f>
        <v>2550</v>
      </c>
      <c r="N6" s="2">
        <f>IFERROR(VLOOKUP($B6,MOSFET!$A$2:$Q$11,8,FALSE),"")</f>
        <v>370</v>
      </c>
      <c r="O6" s="2">
        <f>IFERROR(VLOOKUP($C6,MOSFET!$A$2:$Q$11,8,FALSE),"")</f>
        <v>710</v>
      </c>
      <c r="P6" s="2">
        <f>IFERROR(VLOOKUP($B6,MOSFET!$A$2:$Q$11,9,FALSE),"")</f>
        <v>90</v>
      </c>
      <c r="Q6" s="2">
        <f>IFERROR(VLOOKUP($C6,MOSFET!$A$2:$Q$11,9,FALSE),"")</f>
        <v>110</v>
      </c>
      <c r="R6" s="2">
        <f>IFERROR(VLOOKUP($B6,MOSFET!$A$2:$Q$11,10,FALSE),"")</f>
        <v>22</v>
      </c>
      <c r="S6" s="2">
        <f>IFERROR(VLOOKUP($C6,MOSFET!$A$2:$Q$11,10,FALSE),"")</f>
        <v>19.5</v>
      </c>
      <c r="T6" s="2">
        <f>IFERROR(VLOOKUP($B6,MOSFET!$A$2:$Q$11,11,FALSE),"")</f>
        <v>18</v>
      </c>
      <c r="U6" s="2">
        <f>IFERROR(VLOOKUP($C6,MOSFET!$A$2:$Q$11,11,FALSE),"")</f>
        <v>18</v>
      </c>
      <c r="V6" s="2">
        <f>IFERROR(VLOOKUP($B6,MOSFET!$A$2:$Q$11,12,FALSE),0)</f>
        <v>0</v>
      </c>
      <c r="W6" s="2">
        <f>IFERROR(VLOOKUP($C6,MOSFET!$A$2:$Q$11,12,FALSE),0)</f>
        <v>0</v>
      </c>
      <c r="X6" s="2">
        <f>IFERROR(VLOOKUP($B6,MOSFET!$A$2:$Q$11,13,FALSE),"")</f>
        <v>70</v>
      </c>
      <c r="Y6" s="2">
        <f>IFERROR(VLOOKUP($C6,MOSFET!$A$2:$Q$11,13,FALSE),"")</f>
        <v>81</v>
      </c>
      <c r="Z6" s="2">
        <f>IFERROR(VLOOKUP($B6,MOSFET!$A$2:$Q$11,16,FALSE),"")</f>
        <v>5.7</v>
      </c>
      <c r="AA6" s="2">
        <f>IFERROR(VLOOKUP($C6,MOSFET!$A$2:$Q$11,16,FALSE),"")</f>
        <v>4.3</v>
      </c>
      <c r="AB6" s="9">
        <f>IFERROR(R6*SQRT(Config!$B$13/T6),"")</f>
        <v>9.1666666666666679</v>
      </c>
      <c r="AC6" s="9">
        <f>IFERROR(S6*SQRT(Config!$B$13/U6),"")</f>
        <v>8.125</v>
      </c>
      <c r="AD6" s="9">
        <f>IFERROR((1/(2*PI()))*SQRT((1+AB6*Config!$B$12)/(Config!$B$14*0.000000001*L6*0.000000000001))/1000000,"")</f>
        <v>167.01675805709698</v>
      </c>
      <c r="AE6" s="9">
        <f>IFERROR((1/(2*PI()))*SQRT((1+AC6*Config!$B$12)/(Config!$B$14*0.000000001*M6*0.000000000001))/1000000,"")</f>
        <v>147.82959321035662</v>
      </c>
      <c r="AF6" s="9">
        <f>IFERROR((AB6*N6*Config!$B$12^2/L6)/(1+(2*PI()*AD6*1000000*N6*0.000000000001*Config!$B$12)^2),"")</f>
        <v>9.0598092097672343</v>
      </c>
      <c r="AG6" s="9">
        <f>IFERROR((AC6*O6*Config!$B$12^2/M6)/(1+(2*PI()*AE6*1000000*O6*0.000000000001*Config!$B$12)^2),"")</f>
        <v>5.0212655765315954</v>
      </c>
      <c r="AH6" s="9">
        <f>IF(AF6="","",MAX(0,Config!$B$16*AF6-V6-Config!$B$15))</f>
        <v>12.683732893674128</v>
      </c>
      <c r="AI6" s="9">
        <f>IF(AG6="","",MAX(0,Config!$B$16*AG6-W6-Config!$B$15))</f>
        <v>7.0297718071442334</v>
      </c>
      <c r="AJ6" s="2">
        <f>IF(AH6="","",IF(AH6&lt;=10,10,IF(AH6&gt;=10000,10000,IF(VLOOKUP(AH6,Notes!$F$2:$G$74,1,TRUE)=AH6,AH6,VLOOKUP(AH6,Notes!$F$2:$G$74,2,TRUE)))))</f>
        <v>13</v>
      </c>
      <c r="AK6" s="2">
        <f>IF(AI6="","",IF(AI6&lt;=10,10,IF(AI6&gt;=10000,10000,IF(VLOOKUP(AI6,Notes!$F$2:$G$74,1,TRUE)=AI6,AI6,VLOOKUP(AI6,Notes!$F$2:$G$74,2,TRUE)))))</f>
        <v>10</v>
      </c>
      <c r="AL6" s="10">
        <f t="shared" si="0"/>
        <v>5.441194635620354</v>
      </c>
      <c r="AM6" s="10">
        <f t="shared" si="1"/>
        <v>6.2413703173292285</v>
      </c>
      <c r="AN6" s="10">
        <f t="shared" si="2"/>
        <v>5.441194635620354</v>
      </c>
      <c r="AO6" s="2">
        <f t="shared" si="3"/>
        <v>13.000000000000002</v>
      </c>
      <c r="AP6" s="2">
        <f t="shared" si="4"/>
        <v>11.47058823529412</v>
      </c>
      <c r="AQ6" s="2">
        <f>IF(AO6="","",IF(MAX(AH6,AO6)&lt;=10,10,IF(MAX(AH6,AO6)&gt;=10000,10000,IF(VLOOKUP(MAX(AH6,AO6),Notes!$F$2:$G$74,1,TRUE)=MAX(AH6,AO6),MAX(AH6,AO6),VLOOKUP(MAX(AH6,AO6),Notes!$F$2:$G$74,2,TRUE)))))</f>
        <v>13.000000000000002</v>
      </c>
      <c r="AR6" s="2">
        <f>IF(AP6="","",IF(MAX(AI6,AP6)&lt;=10,10,IF(MAX(AI6,AP6)&gt;=10000,10000,IF(VLOOKUP(MAX(AI6,AP6),Notes!$F$2:$G$74,1,TRUE)=MAX(AI6,AP6),MAX(AI6,AP6),VLOOKUP(MAX(AI6,AP6),Notes!$F$2:$G$74,2,TRUE)))))</f>
        <v>12</v>
      </c>
      <c r="AS6" s="9">
        <f>IFERROR(P6+(L6-P6)/(1+AB6*Config!$B$12),"")</f>
        <v>119.05829596412556</v>
      </c>
      <c r="AT6" s="9">
        <f>IFERROR(Q6+(M6-Q6)/(1+AC6*Config!$B$12),"")</f>
        <v>146.96969696969697</v>
      </c>
      <c r="AU6" s="9">
        <f>IFERROR(MAX(0,MIN(TAN(RADIANS(Config!$B$21))/(2*PI()*Config!$B$20*1000*AS6*0.000000000001)-V6-Config!$B$15,SQRT(10^(Config!$B$22/10)-1)/(2*PI()*Config!$B$20*1000*AS6*0.000000000001)-V6-Config!$B$15)),"")</f>
        <v>1169.5323834342501</v>
      </c>
      <c r="AV6" s="9">
        <f>IFERROR(MAX(0,MIN(TAN(RADIANS(Config!$B$21))/(2*PI()*Config!$B$20*1000*AT6*0.000000000001)-W6-Config!$B$15,SQRT(10^(Config!$B$22/10)-1)/(2*PI()*Config!$B$20*1000*AT6*0.000000000001)-W6-Config!$B$15)),"")</f>
        <v>947.4234180074136</v>
      </c>
      <c r="AW6" s="2">
        <f>IF(AU6="","",IF(AU6&lt;10,"&lt;10",IF(AU6&gt;=10000,10000,VLOOKUP(AU6,Notes!$F$2:$G$74,1,TRUE))))</f>
        <v>1100</v>
      </c>
      <c r="AX6" s="2">
        <f>IF(AV6="","",IF(AV6&lt;10,"&lt;10",IF(AV6&gt;=10000,10000,VLOOKUP(AV6,Notes!$F$2:$G$74,1,TRUE))))</f>
        <v>910</v>
      </c>
      <c r="AY6" s="2">
        <f>IFERROR(IF((IF(Config!$B$8="R14",Config!$B$9,Config!$B$9*CC6/CB6))&lt;=10,10,IF((IF(Config!$B$8="R14",Config!$B$9,Config!$B$9*CC6/CB6))&gt;=10000,10000,IF(ABS((IF(Config!$B$8="R14",Config!$B$9,Config!$B$9*CC6/CB6))-VLOOKUP((IF(Config!$B$8="R14",Config!$B$9,Config!$B$9*CC6/CB6)),Notes!$F$2:$G$74,1,TRUE))&lt;=ABS(VLOOKUP((IF(Config!$B$8="R14",Config!$B$9,Config!$B$9*CC6/CB6)),Notes!$F$2:$G$74,2,TRUE)-(IF(Config!$B$8="R14",Config!$B$9,Config!$B$9*CC6/CB6))),VLOOKUP((IF(Config!$B$8="R14",Config!$B$9,Config!$B$9*CC6/CB6)),Notes!$F$2:$G$74,1,TRUE),VLOOKUP((IF(Config!$B$8="R14",Config!$B$9,Config!$B$9*CC6/CB6)),Notes!$F$2:$G$74,2,TRUE)))),"")</f>
        <v>100</v>
      </c>
      <c r="AZ6" s="2">
        <f>IFERROR(IF((IF(Config!$B$8="R15",Config!$B$9,Config!$B$9*CB6/CC6))&lt;=10,10,IF((IF(Config!$B$8="R15",Config!$B$9,Config!$B$9*CB6/CC6))&gt;=10000,10000,IF(ABS((IF(Config!$B$8="R15",Config!$B$9,Config!$B$9*CB6/CC6))-VLOOKUP((IF(Config!$B$8="R15",Config!$B$9,Config!$B$9*CB6/CC6)),Notes!$F$2:$G$74,1,TRUE))&lt;=ABS(VLOOKUP((IF(Config!$B$8="R15",Config!$B$9,Config!$B$9*CB6/CC6)),Notes!$F$2:$G$74,2,TRUE)-(IF(Config!$B$8="R15",Config!$B$9,Config!$B$9*CB6/CC6))),VLOOKUP((IF(Config!$B$8="R15",Config!$B$9,Config!$B$9*CB6/CC6)),Notes!$F$2:$G$74,1,TRUE),VLOOKUP((IF(Config!$B$8="R15",Config!$B$9,Config!$B$9*CB6/CC6)),Notes!$F$2:$G$74,2,TRUE)))),"")</f>
        <v>91</v>
      </c>
      <c r="BA6" s="2" t="str">
        <f>IF(OR(AW6="&lt;10",AX6="&lt;10"),"NO",IF(AND(AY6&gt;=AJ6,AY6&lt;=AW6,AZ6&gt;=AK6,AZ6&lt;=AX6,ABS(1/(AY6*L6)-1/(AZ6*M6))/MIN(1/(AY6*L6),1/(AZ6*M6))&lt;=Config!$B$19),"YES","NO"))</f>
        <v>YES</v>
      </c>
      <c r="BB6" s="18">
        <f t="shared" si="5"/>
        <v>47</v>
      </c>
      <c r="BC6" s="18">
        <f t="shared" si="6"/>
        <v>47</v>
      </c>
      <c r="BD6" s="2" t="str">
        <f t="shared" si="7"/>
        <v>TEST Q17</v>
      </c>
      <c r="BE6" s="11">
        <f t="shared" si="8"/>
        <v>0.13675213675213677</v>
      </c>
      <c r="BF6" s="2" t="str">
        <f>IF(B6="","",IF(VLOOKUP(B6,MOSFET!$A$2:$Q$11,2,FALSE)&lt;&gt;"N","NON – canal",IF(H6&lt;2*Config!$B$11*Config!$B$17,"NON – Vdss",IF(J6&lt;Config!$B$13*Config!$B$18,"NON – Id",IF(L6&gt;Config!$B$23,"NON – Ciss",IF(OR(L6="",P6="",X6="",BQ6="",R6="",T6="",Z6=""),"DONNÉES À COMPLÉTER","OK"))))))</f>
        <v>OK</v>
      </c>
      <c r="BG6" s="2" t="str">
        <f>IF(C6="","",IF(VLOOKUP(C6,MOSFET!$A$2:$Q$11,2,FALSE)&lt;&gt;"P","NON – canal",IF(I6&lt;2*Config!$B$11*Config!$B$17,"NON – Vdss",IF(K6&lt;Config!$B$13*Config!$B$18,"NON – Id",IF(M6&gt;Config!$B$23,"NON – Ciss",IF(OR(M6="",Q6="",Y6="",BR6="",S6="",U6="",AA6=""),"DONNÉES À COMPLÉTER","OK"))))))</f>
        <v>OK</v>
      </c>
      <c r="BH6" s="2" t="str">
        <f t="shared" si="9"/>
        <v>OUI – Q17 confirmé</v>
      </c>
      <c r="BI6" s="11">
        <f>IFERROR((Config!$B$34*BY6+Config!$B$35*BZ6+Config!$B$36*CA6)/Config!$B$37,"")</f>
        <v>0.86986228248105046</v>
      </c>
      <c r="BJ6" s="11">
        <f t="shared" si="10"/>
        <v>0.83333333333333337</v>
      </c>
      <c r="BK6" s="11">
        <f t="shared" si="11"/>
        <v>0.86419753086419748</v>
      </c>
      <c r="BL6" s="11">
        <f t="shared" si="12"/>
        <v>0.88636363636363624</v>
      </c>
      <c r="BM6" s="11">
        <f t="shared" si="13"/>
        <v>0.81818181818181823</v>
      </c>
      <c r="BN6" s="7">
        <f t="shared" si="14"/>
        <v>0.7543859649122806</v>
      </c>
      <c r="BO6" s="7">
        <f>IFERROR((Config!$B$25*BI6+Config!$B$26*BJ6+Config!$B$27*BK6+Config!$B$28*BL6+Config!$B$29*BM6+Config!$B$30*BN6)/Config!$B$31,"")</f>
        <v>0.84746630480456675</v>
      </c>
      <c r="BP6" s="17">
        <f t="shared" si="15"/>
        <v>4</v>
      </c>
      <c r="BQ6" s="8">
        <f>IFERROR(VLOOKUP($B6,MOSFET!$A$2:$Q$11,14,FALSE),"")</f>
        <v>35</v>
      </c>
      <c r="BR6" s="8">
        <f>IFERROR(VLOOKUP($C6,MOSFET!$A$2:$Q$11,14,FALSE),"")</f>
        <v>42</v>
      </c>
      <c r="BS6" s="8">
        <f t="shared" si="16"/>
        <v>2250</v>
      </c>
      <c r="BT6" s="8">
        <f t="shared" si="17"/>
        <v>2550</v>
      </c>
      <c r="BU6" s="8">
        <f t="shared" si="18"/>
        <v>1170</v>
      </c>
      <c r="BV6" s="8">
        <f t="shared" si="19"/>
        <v>1330</v>
      </c>
      <c r="BW6" s="8">
        <f t="shared" si="20"/>
        <v>198.00000000000011</v>
      </c>
      <c r="BX6" s="8">
        <f t="shared" si="21"/>
        <v>232.00000000000011</v>
      </c>
      <c r="BY6" s="8">
        <f t="shared" si="22"/>
        <v>0.88235294117647056</v>
      </c>
      <c r="BZ6" s="8">
        <f t="shared" si="23"/>
        <v>0.87969924812030076</v>
      </c>
      <c r="CA6" s="8">
        <f t="shared" si="24"/>
        <v>0.85344827586206906</v>
      </c>
      <c r="CB6" s="8">
        <f>IFERROR(P6+(L6-P6)*(1-Config!$B$39),"")</f>
        <v>1170</v>
      </c>
      <c r="CC6" s="8">
        <f>IFERROR(Q6+(M6-Q6)*(1-Config!$B$39),"")</f>
        <v>1330</v>
      </c>
      <c r="CD6" t="str">
        <f>IF(OR(BF6&lt;&gt;"OK",BG6&lt;&gt;"OK"),"X – INADAPTÉ",IF(AND(BI6&gt;=Config!$B$42,CE6&gt;=Config!$B$43,CF6=0),"A – TRÈS BON CANDIDAT",IF(AND(BI6&gt;=Config!$B$44,CE6&gt;=Config!$B$45,CF6=0),"B – BON CANDIDAT","C – À ÉTUDIER")))</f>
        <v>A – TRÈS BON CANDIDAT</v>
      </c>
      <c r="CE6" s="7">
        <f t="shared" si="25"/>
        <v>0.91</v>
      </c>
      <c r="CF6">
        <f>--(BJ6&lt;Config!$B$46)+--(BK6&lt;Config!$B$47)+--(BL6&lt;Config!$B$47)+--(BM6&lt;Config!$B$47)+--(BN6&lt;Config!$B$48)</f>
        <v>0</v>
      </c>
      <c r="CG6" t="str">
        <f>IF(CF6=0,"Aucune",IF(BJ6&lt;Config!$B$46,"Qgd; ","")&amp;IF(BK6&lt;Config!$B$47,"Qg; ","")&amp;IF(BL6&lt;Config!$B$47,"gm; ","")&amp;IF(BM6&lt;Config!$B$47,"Crss; ","")&amp;IF(BN6&lt;Config!$B$48,"VGS; ",""))</f>
        <v>Aucune</v>
      </c>
      <c r="CH6" t="str">
        <f t="shared" si="26"/>
        <v>VALIDÉ R14/R15</v>
      </c>
    </row>
    <row r="7" spans="1:86" ht="60">
      <c r="A7" s="2" t="s">
        <v>43</v>
      </c>
      <c r="B7" s="2" t="s">
        <v>38</v>
      </c>
      <c r="C7" s="2" t="s">
        <v>44</v>
      </c>
      <c r="D7" s="2" t="str">
        <f>IFERROR(VLOOKUP(A7,Selection!$A$17:$I$28,4,FALSE),"NON TESTÉ / NOT TESTED")</f>
        <v>NON TESTÉ / NOT TESTED</v>
      </c>
      <c r="E7" s="2">
        <f>IFERROR(VLOOKUP(A7,Selection!$A$17:$I$28,5,FALSE),"")</f>
        <v>0</v>
      </c>
      <c r="F7" s="2">
        <f>IFERROR(VLOOKUP(A7,Selection!$A$17:$I$28,6,FALSE),"")</f>
        <v>0</v>
      </c>
      <c r="G7" s="2" t="str">
        <f>IF(Config!$B$3="FR",IFERROR(T(VLOOKUP(A7,Selection!$A$17:$I$28,7,FALSE)),""),IF(IFERROR(T(VLOOKUP(A7,Selection!$A$17:$I$28,8,FALSE)),"")&lt;&gt;"",IFERROR(T(VLOOKUP(A7,Selection!$A$17:$I$28,8,FALSE)),""),IFERROR(T(VLOOKUP(A7,Selection!$A$17:$I$28,7,FALSE)),"")))</f>
        <v>Combination to validate on Q17.</v>
      </c>
      <c r="H7" s="2">
        <f>IFERROR(VLOOKUP($B7,MOSFET!$A$2:$Q$11,5,FALSE),"")</f>
        <v>300</v>
      </c>
      <c r="I7" s="2">
        <f>IFERROR(VLOOKUP($C7,MOSFET!$A$2:$Q$11,5,FALSE),"")</f>
        <v>150</v>
      </c>
      <c r="J7" s="2">
        <f>IFERROR(VLOOKUP($B7,MOSFET!$A$2:$Q$11,6,FALSE),"")</f>
        <v>36</v>
      </c>
      <c r="K7" s="2">
        <f>IFERROR(VLOOKUP($C7,MOSFET!$A$2:$Q$11,6,FALSE),"")</f>
        <v>36</v>
      </c>
      <c r="L7" s="2">
        <f>IFERROR(VLOOKUP($B7,MOSFET!$A$2:$Q$11,7,FALSE),"")</f>
        <v>2250</v>
      </c>
      <c r="M7" s="2">
        <f>IFERROR(VLOOKUP($C7,MOSFET!$A$2:$Q$11,7,FALSE),"")</f>
        <v>3100</v>
      </c>
      <c r="N7" s="2">
        <f>IFERROR(VLOOKUP($B7,MOSFET!$A$2:$Q$11,8,FALSE),"")</f>
        <v>370</v>
      </c>
      <c r="O7" s="2">
        <f>IFERROR(VLOOKUP($C7,MOSFET!$A$2:$Q$11,8,FALSE),"")</f>
        <v>610</v>
      </c>
      <c r="P7" s="2">
        <f>IFERROR(VLOOKUP($B7,MOSFET!$A$2:$Q$11,9,FALSE),"")</f>
        <v>90</v>
      </c>
      <c r="Q7" s="2">
        <f>IFERROR(VLOOKUP($C7,MOSFET!$A$2:$Q$11,9,FALSE),"")</f>
        <v>100</v>
      </c>
      <c r="R7" s="2">
        <f>IFERROR(VLOOKUP($B7,MOSFET!$A$2:$Q$11,10,FALSE),"")</f>
        <v>22</v>
      </c>
      <c r="S7" s="2">
        <f>IFERROR(VLOOKUP($C7,MOSFET!$A$2:$Q$11,10,FALSE),"")</f>
        <v>19</v>
      </c>
      <c r="T7" s="2">
        <f>IFERROR(VLOOKUP($B7,MOSFET!$A$2:$Q$11,11,FALSE),"")</f>
        <v>18</v>
      </c>
      <c r="U7" s="2">
        <f>IFERROR(VLOOKUP($C7,MOSFET!$A$2:$Q$11,11,FALSE),"")</f>
        <v>18</v>
      </c>
      <c r="V7" s="2">
        <f>IFERROR(VLOOKUP($B7,MOSFET!$A$2:$Q$11,12,FALSE),0)</f>
        <v>0</v>
      </c>
      <c r="W7" s="2">
        <f>IFERROR(VLOOKUP($C7,MOSFET!$A$2:$Q$11,12,FALSE),0)</f>
        <v>0</v>
      </c>
      <c r="X7" s="2">
        <f>IFERROR(VLOOKUP($B7,MOSFET!$A$2:$Q$11,13,FALSE),"")</f>
        <v>70</v>
      </c>
      <c r="Y7" s="2">
        <f>IFERROR(VLOOKUP($C7,MOSFET!$A$2:$Q$11,13,FALSE),"")</f>
        <v>55</v>
      </c>
      <c r="Z7" s="2">
        <f>IFERROR(VLOOKUP($B7,MOSFET!$A$2:$Q$11,16,FALSE),"")</f>
        <v>5.7</v>
      </c>
      <c r="AA7" s="2">
        <f>IFERROR(VLOOKUP($C7,MOSFET!$A$2:$Q$11,16,FALSE),"")</f>
        <v>4.8</v>
      </c>
      <c r="AB7" s="9">
        <f>IFERROR(R7*SQRT(Config!$B$13/T7),"")</f>
        <v>9.1666666666666679</v>
      </c>
      <c r="AC7" s="9">
        <f>IFERROR(S7*SQRT(Config!$B$13/U7),"")</f>
        <v>7.916666666666667</v>
      </c>
      <c r="AD7" s="9">
        <f>IFERROR((1/(2*PI()))*SQRT((1+AB7*Config!$B$12)/(Config!$B$14*0.000000001*L7*0.000000000001))/1000000,"")</f>
        <v>167.01675805709698</v>
      </c>
      <c r="AE7" s="9">
        <f>IFERROR((1/(2*PI()))*SQRT((1+AC7*Config!$B$12)/(Config!$B$14*0.000000001*M7*0.000000000001))/1000000,"")</f>
        <v>132.37216881932235</v>
      </c>
      <c r="AF7" s="9">
        <f>IFERROR((AB7*N7*Config!$B$12^2/L7)/(1+(2*PI()*AD7*1000000*N7*0.000000000001*Config!$B$12)^2),"")</f>
        <v>9.0598092097672343</v>
      </c>
      <c r="AG7" s="9">
        <f>IFERROR((AC7*O7*Config!$B$12^2/M7)/(1+(2*PI()*AE7*1000000*O7*0.000000000001*Config!$B$12)^2),"")</f>
        <v>5.7056364205032697</v>
      </c>
      <c r="AH7" s="9">
        <f>IF(AF7="","",MAX(0,Config!$B$16*AF7-V7-Config!$B$15))</f>
        <v>12.683732893674128</v>
      </c>
      <c r="AI7" s="9">
        <f>IF(AG7="","",MAX(0,Config!$B$16*AG7-W7-Config!$B$15))</f>
        <v>7.987890988704577</v>
      </c>
      <c r="AJ7" s="2">
        <f>IF(AH7="","",IF(AH7&lt;=10,10,IF(AH7&gt;=10000,10000,IF(VLOOKUP(AH7,Notes!$F$2:$G$74,1,TRUE)=AH7,AH7,VLOOKUP(AH7,Notes!$F$2:$G$74,2,TRUE)))))</f>
        <v>13</v>
      </c>
      <c r="AK7" s="2">
        <f>IF(AI7="","",IF(AI7&lt;=10,10,IF(AI7&gt;=10000,10000,IF(VLOOKUP(AI7,Notes!$F$2:$G$74,1,TRUE)=AI7,AI7,VLOOKUP(AI7,Notes!$F$2:$G$74,2,TRUE)))))</f>
        <v>10</v>
      </c>
      <c r="AL7" s="10">
        <f t="shared" si="0"/>
        <v>5.441194635620354</v>
      </c>
      <c r="AM7" s="10">
        <f t="shared" si="1"/>
        <v>5.1340304223192055</v>
      </c>
      <c r="AN7" s="10">
        <f t="shared" si="2"/>
        <v>5.1340304223192055</v>
      </c>
      <c r="AO7" s="2">
        <f t="shared" si="3"/>
        <v>13.777777777777775</v>
      </c>
      <c r="AP7" s="2">
        <f t="shared" si="4"/>
        <v>9.9999999999999982</v>
      </c>
      <c r="AQ7" s="2">
        <f>IF(AO7="","",IF(MAX(AH7,AO7)&lt;=10,10,IF(MAX(AH7,AO7)&gt;=10000,10000,IF(VLOOKUP(MAX(AH7,AO7),Notes!$F$2:$G$74,1,TRUE)=MAX(AH7,AO7),MAX(AH7,AO7),VLOOKUP(MAX(AH7,AO7),Notes!$F$2:$G$74,2,TRUE)))))</f>
        <v>15</v>
      </c>
      <c r="AR7" s="2">
        <f>IF(AP7="","",IF(MAX(AI7,AP7)&lt;=10,10,IF(MAX(AI7,AP7)&gt;=10000,10000,IF(VLOOKUP(MAX(AI7,AP7),Notes!$F$2:$G$74,1,TRUE)=MAX(AI7,AP7),MAX(AI7,AP7),VLOOKUP(MAX(AI7,AP7),Notes!$F$2:$G$74,2,TRUE)))))</f>
        <v>10</v>
      </c>
      <c r="AS7" s="9">
        <f>IFERROR(P7+(L7-P7)/(1+AB7*Config!$B$12),"")</f>
        <v>119.05829596412556</v>
      </c>
      <c r="AT7" s="9">
        <f>IFERROR(Q7+(M7-Q7)/(1+AC7*Config!$B$12),"")</f>
        <v>146.6321243523316</v>
      </c>
      <c r="AU7" s="9">
        <f>IFERROR(MAX(0,MIN(TAN(RADIANS(Config!$B$21))/(2*PI()*Config!$B$20*1000*AS7*0.000000000001)-V7-Config!$B$15,SQRT(10^(Config!$B$22/10)-1)/(2*PI()*Config!$B$20*1000*AS7*0.000000000001)-V7-Config!$B$15)),"")</f>
        <v>1169.5323834342501</v>
      </c>
      <c r="AV7" s="9">
        <f>IFERROR(MAX(0,MIN(TAN(RADIANS(Config!$B$21))/(2*PI()*Config!$B$20*1000*AT7*0.000000000001)-W7-Config!$B$15,SQRT(10^(Config!$B$22/10)-1)/(2*PI()*Config!$B$20*1000*AT7*0.000000000001)-W7-Config!$B$15)),"")</f>
        <v>949.60455126441752</v>
      </c>
      <c r="AW7" s="2">
        <f>IF(AU7="","",IF(AU7&lt;10,"&lt;10",IF(AU7&gt;=10000,10000,VLOOKUP(AU7,Notes!$F$2:$G$74,1,TRUE))))</f>
        <v>1100</v>
      </c>
      <c r="AX7" s="2">
        <f>IF(AV7="","",IF(AV7&lt;10,"&lt;10",IF(AV7&gt;=10000,10000,VLOOKUP(AV7,Notes!$F$2:$G$74,1,TRUE))))</f>
        <v>910</v>
      </c>
      <c r="AY7" s="2">
        <f>IFERROR(IF((IF(Config!$B$8="R14",Config!$B$9,Config!$B$9*CC7/CB7))&lt;=10,10,IF((IF(Config!$B$8="R14",Config!$B$9,Config!$B$9*CC7/CB7))&gt;=10000,10000,IF(ABS((IF(Config!$B$8="R14",Config!$B$9,Config!$B$9*CC7/CB7))-VLOOKUP((IF(Config!$B$8="R14",Config!$B$9,Config!$B$9*CC7/CB7)),Notes!$F$2:$G$74,1,TRUE))&lt;=ABS(VLOOKUP((IF(Config!$B$8="R14",Config!$B$9,Config!$B$9*CC7/CB7)),Notes!$F$2:$G$74,2,TRUE)-(IF(Config!$B$8="R14",Config!$B$9,Config!$B$9*CC7/CB7))),VLOOKUP((IF(Config!$B$8="R14",Config!$B$9,Config!$B$9*CC7/CB7)),Notes!$F$2:$G$74,1,TRUE),VLOOKUP((IF(Config!$B$8="R14",Config!$B$9,Config!$B$9*CC7/CB7)),Notes!$F$2:$G$74,2,TRUE)))),"")</f>
        <v>100</v>
      </c>
      <c r="AZ7" s="2">
        <f>IFERROR(IF((IF(Config!$B$8="R15",Config!$B$9,Config!$B$9*CB7/CC7))&lt;=10,10,IF((IF(Config!$B$8="R15",Config!$B$9,Config!$B$9*CB7/CC7))&gt;=10000,10000,IF(ABS((IF(Config!$B$8="R15",Config!$B$9,Config!$B$9*CB7/CC7))-VLOOKUP((IF(Config!$B$8="R15",Config!$B$9,Config!$B$9*CB7/CC7)),Notes!$F$2:$G$74,1,TRUE))&lt;=ABS(VLOOKUP((IF(Config!$B$8="R15",Config!$B$9,Config!$B$9*CB7/CC7)),Notes!$F$2:$G$74,2,TRUE)-(IF(Config!$B$8="R15",Config!$B$9,Config!$B$9*CB7/CC7))),VLOOKUP((IF(Config!$B$8="R15",Config!$B$9,Config!$B$9*CB7/CC7)),Notes!$F$2:$G$74,1,TRUE),VLOOKUP((IF(Config!$B$8="R15",Config!$B$9,Config!$B$9*CB7/CC7)),Notes!$F$2:$G$74,2,TRUE)))),"")</f>
        <v>75</v>
      </c>
      <c r="BA7" s="2" t="str">
        <f>IF(OR(AW7="&lt;10",AX7="&lt;10"),"NO",IF(AND(AY7&gt;=AJ7,AY7&lt;=AW7,AZ7&gt;=AK7,AZ7&lt;=AX7,ABS(1/(AY7*L7)-1/(AZ7*M7))/MIN(1/(AY7*L7),1/(AZ7*M7))&lt;=Config!$B$19),"YES","NO"))</f>
        <v>YES</v>
      </c>
      <c r="BB7" s="18">
        <f t="shared" si="5"/>
        <v>100</v>
      </c>
      <c r="BC7" s="18">
        <f t="shared" si="6"/>
        <v>75</v>
      </c>
      <c r="BD7" s="2" t="str">
        <f t="shared" si="7"/>
        <v>CIBLE INITIALE</v>
      </c>
      <c r="BE7" s="11">
        <f t="shared" si="8"/>
        <v>2.564102564102564E-2</v>
      </c>
      <c r="BF7" s="2" t="str">
        <f>IF(B7="","",IF(VLOOKUP(B7,MOSFET!$A$2:$Q$11,2,FALSE)&lt;&gt;"N","NON – canal",IF(H7&lt;2*Config!$B$11*Config!$B$17,"NON – Vdss",IF(J7&lt;Config!$B$13*Config!$B$18,"NON – Id",IF(L7&gt;Config!$B$23,"NON – Ciss",IF(OR(L7="",P7="",X7="",BQ7="",R7="",T7="",Z7=""),"DONNÉES À COMPLÉTER","OK"))))))</f>
        <v>OK</v>
      </c>
      <c r="BG7" s="2" t="str">
        <f>IF(C7="","",IF(VLOOKUP(C7,MOSFET!$A$2:$Q$11,2,FALSE)&lt;&gt;"P","NON – canal",IF(I7&lt;2*Config!$B$11*Config!$B$17,"NON – Vdss",IF(K7&lt;Config!$B$13*Config!$B$18,"NON – Id",IF(M7&gt;Config!$B$23,"NON – Ciss",IF(OR(M7="",Q7="",Y7="",BR7="",S7="",U7="",AA7=""),"DONNÉES À COMPLÉTER","OK"))))))</f>
        <v>OK</v>
      </c>
      <c r="BH7" s="2" t="str">
        <f t="shared" si="9"/>
        <v>OUI – paire acceptable / test scope requis</v>
      </c>
      <c r="BI7" s="11">
        <f>IFERROR((Config!$B$34*BY7+Config!$B$35*BZ7+Config!$B$36*CA7)/Config!$B$37,"")</f>
        <v>0.75418911290322588</v>
      </c>
      <c r="BJ7" s="11">
        <f t="shared" si="10"/>
        <v>0.51428571428571423</v>
      </c>
      <c r="BK7" s="11">
        <f t="shared" si="11"/>
        <v>0.7857142857142857</v>
      </c>
      <c r="BL7" s="11">
        <f t="shared" si="12"/>
        <v>0.86363636363636354</v>
      </c>
      <c r="BM7" s="11">
        <f t="shared" si="13"/>
        <v>0.9</v>
      </c>
      <c r="BN7" s="7">
        <f t="shared" si="14"/>
        <v>0.84210526315789469</v>
      </c>
      <c r="BO7" s="7">
        <f>IFERROR((Config!$B$25*BI7+Config!$B$26*BJ7+Config!$B$27*BK7+Config!$B$28*BL7+Config!$B$29*BM7+Config!$B$30*BN7)/Config!$B$31,"")</f>
        <v>0.75072700044649743</v>
      </c>
      <c r="BP7" s="17">
        <f t="shared" si="15"/>
        <v>3</v>
      </c>
      <c r="BQ7" s="8">
        <f>IFERROR(VLOOKUP($B7,MOSFET!$A$2:$Q$11,14,FALSE),"")</f>
        <v>35</v>
      </c>
      <c r="BR7" s="8">
        <f>IFERROR(VLOOKUP($C7,MOSFET!$A$2:$Q$11,14,FALSE),"")</f>
        <v>18</v>
      </c>
      <c r="BS7" s="8">
        <f t="shared" si="16"/>
        <v>2250</v>
      </c>
      <c r="BT7" s="8">
        <f t="shared" si="17"/>
        <v>3100</v>
      </c>
      <c r="BU7" s="8">
        <f t="shared" si="18"/>
        <v>1170</v>
      </c>
      <c r="BV7" s="8">
        <f t="shared" si="19"/>
        <v>1600</v>
      </c>
      <c r="BW7" s="8">
        <f t="shared" si="20"/>
        <v>198.00000000000011</v>
      </c>
      <c r="BX7" s="8">
        <f t="shared" si="21"/>
        <v>250.00000000000014</v>
      </c>
      <c r="BY7" s="8">
        <f t="shared" si="22"/>
        <v>0.72580645161290325</v>
      </c>
      <c r="BZ7" s="8">
        <f t="shared" si="23"/>
        <v>0.73124999999999996</v>
      </c>
      <c r="CA7" s="8">
        <f t="shared" si="24"/>
        <v>0.79200000000000004</v>
      </c>
      <c r="CB7" s="8">
        <f>IFERROR(P7+(L7-P7)*(1-Config!$B$39),"")</f>
        <v>1170</v>
      </c>
      <c r="CC7" s="8">
        <f>IFERROR(Q7+(M7-Q7)*(1-Config!$B$39),"")</f>
        <v>1600</v>
      </c>
      <c r="CD7" t="str">
        <f>IF(OR(BF7&lt;&gt;"OK",BG7&lt;&gt;"OK"),"X – INADAPTÉ",IF(AND(BI7&gt;=Config!$B$42,CE7&gt;=Config!$B$43,CF7=0),"A – TRÈS BON CANDIDAT",IF(AND(BI7&gt;=Config!$B$44,CE7&gt;=Config!$B$45,CF7=0),"B – BON CANDIDAT","C – À ÉTUDIER")))</f>
        <v>C – À ÉTUDIER</v>
      </c>
      <c r="CE7" s="7">
        <f t="shared" si="25"/>
        <v>0.75</v>
      </c>
      <c r="CF7">
        <f>--(BJ7&lt;Config!$B$46)+--(BK7&lt;Config!$B$47)+--(BL7&lt;Config!$B$47)+--(BM7&lt;Config!$B$47)+--(BN7&lt;Config!$B$48)</f>
        <v>0</v>
      </c>
      <c r="CG7" t="str">
        <f>IF(CF7=0,"Aucune",IF(BJ7&lt;Config!$B$46,"Qgd; ","")&amp;IF(BK7&lt;Config!$B$47,"Qg; ","")&amp;IF(BL7&lt;Config!$B$47,"gm; ","")&amp;IF(BM7&lt;Config!$B$47,"Crss; ","")&amp;IF(BN7&lt;Config!$B$48,"VGS; ",""))</f>
        <v>Aucune</v>
      </c>
      <c r="CH7" t="str">
        <f t="shared" si="26"/>
        <v>NON TESTÉ</v>
      </c>
    </row>
    <row r="8" spans="1:86" ht="60">
      <c r="A8" s="2" t="s">
        <v>48</v>
      </c>
      <c r="B8" s="2" t="s">
        <v>31</v>
      </c>
      <c r="C8" s="2" t="s">
        <v>44</v>
      </c>
      <c r="D8" s="2" t="str">
        <f>IFERROR(VLOOKUP(A8,Selection!$A$17:$I$28,4,FALSE),"NON TESTÉ / NOT TESTED")</f>
        <v>TESTÉ – À ÉVALUER / TESTED – TO REVIEW</v>
      </c>
      <c r="E8" s="2">
        <f>IFERROR(VLOOKUP(A8,Selection!$A$17:$I$28,5,FALSE),"")</f>
        <v>0</v>
      </c>
      <c r="F8" s="2">
        <f>IFERROR(VLOOKUP(A8,Selection!$A$17:$I$28,6,FALSE),"")</f>
        <v>0</v>
      </c>
      <c r="G8" s="2" t="str">
        <f>IF(Config!$B$3="FR",IFERROR(T(VLOOKUP(A8,Selection!$A$17:$I$28,7,FALSE)),""),IF(IFERROR(T(VLOOKUP(A8,Selection!$A$17:$I$28,8,FALSE)),"")&lt;&gt;"",IFERROR(T(VLOOKUP(A8,Selection!$A$17:$I$28,8,FALSE)),""),IFERROR(T(VLOOKUP(A8,Selection!$A$17:$I$28,7,FALSE)),"")))</f>
        <v>Combination to validate on Q17.</v>
      </c>
      <c r="H8" s="2">
        <f>IFERROR(VLOOKUP($B8,MOSFET!$A$2:$Q$11,5,FALSE),"")</f>
        <v>150</v>
      </c>
      <c r="I8" s="2">
        <f>IFERROR(VLOOKUP($C8,MOSFET!$A$2:$Q$11,5,FALSE),"")</f>
        <v>150</v>
      </c>
      <c r="J8" s="2">
        <f>IFERROR(VLOOKUP($B8,MOSFET!$A$2:$Q$11,6,FALSE),"")</f>
        <v>50</v>
      </c>
      <c r="K8" s="2">
        <f>IFERROR(VLOOKUP($C8,MOSFET!$A$2:$Q$11,6,FALSE),"")</f>
        <v>36</v>
      </c>
      <c r="L8" s="2">
        <f>IFERROR(VLOOKUP($B8,MOSFET!$A$2:$Q$11,7,FALSE),"")</f>
        <v>2500</v>
      </c>
      <c r="M8" s="2">
        <f>IFERROR(VLOOKUP($C8,MOSFET!$A$2:$Q$11,7,FALSE),"")</f>
        <v>3100</v>
      </c>
      <c r="N8" s="2">
        <f>IFERROR(VLOOKUP($B8,MOSFET!$A$2:$Q$11,8,FALSE),"")</f>
        <v>520</v>
      </c>
      <c r="O8" s="2">
        <f>IFERROR(VLOOKUP($C8,MOSFET!$A$2:$Q$11,8,FALSE),"")</f>
        <v>610</v>
      </c>
      <c r="P8" s="2">
        <f>IFERROR(VLOOKUP($B8,MOSFET!$A$2:$Q$11,9,FALSE),"")</f>
        <v>100</v>
      </c>
      <c r="Q8" s="2">
        <f>IFERROR(VLOOKUP($C8,MOSFET!$A$2:$Q$11,9,FALSE),"")</f>
        <v>100</v>
      </c>
      <c r="R8" s="2">
        <f>IFERROR(VLOOKUP($B8,MOSFET!$A$2:$Q$11,10,FALSE),"")</f>
        <v>36</v>
      </c>
      <c r="S8" s="2">
        <f>IFERROR(VLOOKUP($C8,MOSFET!$A$2:$Q$11,10,FALSE),"")</f>
        <v>19</v>
      </c>
      <c r="T8" s="2">
        <f>IFERROR(VLOOKUP($B8,MOSFET!$A$2:$Q$11,11,FALSE),"")</f>
        <v>25</v>
      </c>
      <c r="U8" s="2">
        <f>IFERROR(VLOOKUP($C8,MOSFET!$A$2:$Q$11,11,FALSE),"")</f>
        <v>18</v>
      </c>
      <c r="V8" s="2">
        <f>IFERROR(VLOOKUP($B8,MOSFET!$A$2:$Q$11,12,FALSE),0)</f>
        <v>0</v>
      </c>
      <c r="W8" s="2">
        <f>IFERROR(VLOOKUP($C8,MOSFET!$A$2:$Q$11,12,FALSE),0)</f>
        <v>0</v>
      </c>
      <c r="X8" s="2">
        <f>IFERROR(VLOOKUP($B8,MOSFET!$A$2:$Q$11,13,FALSE),"")</f>
        <v>85</v>
      </c>
      <c r="Y8" s="2">
        <f>IFERROR(VLOOKUP($C8,MOSFET!$A$2:$Q$11,13,FALSE),"")</f>
        <v>55</v>
      </c>
      <c r="Z8" s="2">
        <f>IFERROR(VLOOKUP($B8,MOSFET!$A$2:$Q$11,16,FALSE),"")</f>
        <v>4.2</v>
      </c>
      <c r="AA8" s="2">
        <f>IFERROR(VLOOKUP($C8,MOSFET!$A$2:$Q$11,16,FALSE),"")</f>
        <v>4.8</v>
      </c>
      <c r="AB8" s="9">
        <f>IFERROR(R8*SQRT(Config!$B$13/T8),"")</f>
        <v>12.727922061357857</v>
      </c>
      <c r="AC8" s="9">
        <f>IFERROR(S8*SQRT(Config!$B$13/U8),"")</f>
        <v>7.916666666666667</v>
      </c>
      <c r="AD8" s="9">
        <f>IFERROR((1/(2*PI()))*SQRT((1+AB8*Config!$B$12)/(Config!$B$14*0.000000001*L8*0.000000000001))/1000000,"")</f>
        <v>186.35258885739466</v>
      </c>
      <c r="AE8" s="9">
        <f>IFERROR((1/(2*PI()))*SQRT((1+AC8*Config!$B$12)/(Config!$B$14*0.000000001*M8*0.000000000001))/1000000,"")</f>
        <v>132.37216881932235</v>
      </c>
      <c r="AF8" s="9">
        <f>IFERROR((AB8*N8*Config!$B$12^2/L8)/(1+(2*PI()*AD8*1000000*N8*0.000000000001*Config!$B$12)^2),"")</f>
        <v>6.852577005052809</v>
      </c>
      <c r="AG8" s="9">
        <f>IFERROR((AC8*O8*Config!$B$12^2/M8)/(1+(2*PI()*AE8*1000000*O8*0.000000000001*Config!$B$12)^2),"")</f>
        <v>5.7056364205032697</v>
      </c>
      <c r="AH8" s="9">
        <f>IF(AF8="","",MAX(0,Config!$B$16*AF8-V8-Config!$B$15))</f>
        <v>9.5936078070739317</v>
      </c>
      <c r="AI8" s="9">
        <f>IF(AG8="","",MAX(0,Config!$B$16*AG8-W8-Config!$B$15))</f>
        <v>7.987890988704577</v>
      </c>
      <c r="AJ8" s="2">
        <f>IF(AH8="","",IF(AH8&lt;=10,10,IF(AH8&gt;=10000,10000,IF(VLOOKUP(AH8,Notes!$F$2:$G$74,1,TRUE)=AH8,AH8,VLOOKUP(AH8,Notes!$F$2:$G$74,2,TRUE)))))</f>
        <v>10</v>
      </c>
      <c r="AK8" s="2">
        <f>IF(AI8="","",IF(AI8&lt;=10,10,IF(AI8&gt;=10000,10000,IF(VLOOKUP(AI8,Notes!$F$2:$G$74,1,TRUE)=AI8,AI8,VLOOKUP(AI8,Notes!$F$2:$G$74,2,TRUE)))))</f>
        <v>10</v>
      </c>
      <c r="AL8" s="10">
        <f t="shared" si="0"/>
        <v>6.366197723675814</v>
      </c>
      <c r="AM8" s="10">
        <f t="shared" si="1"/>
        <v>5.1340304223192055</v>
      </c>
      <c r="AN8" s="10">
        <f t="shared" si="2"/>
        <v>5.1340304223192055</v>
      </c>
      <c r="AO8" s="2">
        <f t="shared" si="3"/>
        <v>12.399999999999997</v>
      </c>
      <c r="AP8" s="2">
        <f t="shared" si="4"/>
        <v>9.9999999999999982</v>
      </c>
      <c r="AQ8" s="2">
        <f>IF(AO8="","",IF(MAX(AH8,AO8)&lt;=10,10,IF(MAX(AH8,AO8)&gt;=10000,10000,IF(VLOOKUP(MAX(AH8,AO8),Notes!$F$2:$G$74,1,TRUE)=MAX(AH8,AO8),MAX(AH8,AO8),VLOOKUP(MAX(AH8,AO8),Notes!$F$2:$G$74,2,TRUE)))))</f>
        <v>13</v>
      </c>
      <c r="AR8" s="2">
        <f>IF(AP8="","",IF(MAX(AI8,AP8)&lt;=10,10,IF(MAX(AI8,AP8)&gt;=10000,10000,IF(VLOOKUP(MAX(AI8,AP8),Notes!$F$2:$G$74,1,TRUE)=MAX(AI8,AP8),MAX(AI8,AP8),VLOOKUP(MAX(AI8,AP8),Notes!$F$2:$G$74,2,TRUE)))))</f>
        <v>10</v>
      </c>
      <c r="AS8" s="9">
        <f>IFERROR(P8+(L8-P8)/(1+AB8*Config!$B$12),"")</f>
        <v>123.34099581152415</v>
      </c>
      <c r="AT8" s="9">
        <f>IFERROR(Q8+(M8-Q8)/(1+AC8*Config!$B$12),"")</f>
        <v>146.6321243523316</v>
      </c>
      <c r="AU8" s="9">
        <f>IFERROR(MAX(0,MIN(TAN(RADIANS(Config!$B$21))/(2*PI()*Config!$B$20*1000*AS8*0.000000000001)-V8-Config!$B$15,SQRT(10^(Config!$B$22/10)-1)/(2*PI()*Config!$B$20*1000*AS8*0.000000000001)-V8-Config!$B$15)),"")</f>
        <v>1128.9233699662918</v>
      </c>
      <c r="AV8" s="9">
        <f>IFERROR(MAX(0,MIN(TAN(RADIANS(Config!$B$21))/(2*PI()*Config!$B$20*1000*AT8*0.000000000001)-W8-Config!$B$15,SQRT(10^(Config!$B$22/10)-1)/(2*PI()*Config!$B$20*1000*AT8*0.000000000001)-W8-Config!$B$15)),"")</f>
        <v>949.60455126441752</v>
      </c>
      <c r="AW8" s="2">
        <f>IF(AU8="","",IF(AU8&lt;10,"&lt;10",IF(AU8&gt;=10000,10000,VLOOKUP(AU8,Notes!$F$2:$G$74,1,TRUE))))</f>
        <v>1100</v>
      </c>
      <c r="AX8" s="2">
        <f>IF(AV8="","",IF(AV8&lt;10,"&lt;10",IF(AV8&gt;=10000,10000,VLOOKUP(AV8,Notes!$F$2:$G$74,1,TRUE))))</f>
        <v>910</v>
      </c>
      <c r="AY8" s="2">
        <f>IFERROR(IF((IF(Config!$B$8="R14",Config!$B$9,Config!$B$9*CC8/CB8))&lt;=10,10,IF((IF(Config!$B$8="R14",Config!$B$9,Config!$B$9*CC8/CB8))&gt;=10000,10000,IF(ABS((IF(Config!$B$8="R14",Config!$B$9,Config!$B$9*CC8/CB8))-VLOOKUP((IF(Config!$B$8="R14",Config!$B$9,Config!$B$9*CC8/CB8)),Notes!$F$2:$G$74,1,TRUE))&lt;=ABS(VLOOKUP((IF(Config!$B$8="R14",Config!$B$9,Config!$B$9*CC8/CB8)),Notes!$F$2:$G$74,2,TRUE)-(IF(Config!$B$8="R14",Config!$B$9,Config!$B$9*CC8/CB8))),VLOOKUP((IF(Config!$B$8="R14",Config!$B$9,Config!$B$9*CC8/CB8)),Notes!$F$2:$G$74,1,TRUE),VLOOKUP((IF(Config!$B$8="R14",Config!$B$9,Config!$B$9*CC8/CB8)),Notes!$F$2:$G$74,2,TRUE)))),"")</f>
        <v>100</v>
      </c>
      <c r="AZ8" s="2">
        <f>IFERROR(IF((IF(Config!$B$8="R15",Config!$B$9,Config!$B$9*CB8/CC8))&lt;=10,10,IF((IF(Config!$B$8="R15",Config!$B$9,Config!$B$9*CB8/CC8))&gt;=10000,10000,IF(ABS((IF(Config!$B$8="R15",Config!$B$9,Config!$B$9*CB8/CC8))-VLOOKUP((IF(Config!$B$8="R15",Config!$B$9,Config!$B$9*CB8/CC8)),Notes!$F$2:$G$74,1,TRUE))&lt;=ABS(VLOOKUP((IF(Config!$B$8="R15",Config!$B$9,Config!$B$9*CB8/CC8)),Notes!$F$2:$G$74,2,TRUE)-(IF(Config!$B$8="R15",Config!$B$9,Config!$B$9*CB8/CC8))),VLOOKUP((IF(Config!$B$8="R15",Config!$B$9,Config!$B$9*CB8/CC8)),Notes!$F$2:$G$74,1,TRUE),VLOOKUP((IF(Config!$B$8="R15",Config!$B$9,Config!$B$9*CB8/CC8)),Notes!$F$2:$G$74,2,TRUE)))),"")</f>
        <v>82</v>
      </c>
      <c r="BA8" s="2" t="str">
        <f>IF(OR(AW8="&lt;10",AX8="&lt;10"),"NO",IF(AND(AY8&gt;=AJ8,AY8&lt;=AW8,AZ8&gt;=AK8,AZ8&lt;=AX8,ABS(1/(AY8*L8)-1/(AZ8*M8))/MIN(1/(AY8*L8),1/(AZ8*M8))&lt;=Config!$B$19),"YES","NO"))</f>
        <v>YES</v>
      </c>
      <c r="BB8" s="18">
        <f t="shared" si="5"/>
        <v>100</v>
      </c>
      <c r="BC8" s="18">
        <f t="shared" si="6"/>
        <v>82</v>
      </c>
      <c r="BD8" s="2" t="str">
        <f t="shared" si="7"/>
        <v>CIBLE INITIALE</v>
      </c>
      <c r="BE8" s="11">
        <f t="shared" si="8"/>
        <v>9.2307692307692316E-3</v>
      </c>
      <c r="BF8" s="2" t="str">
        <f>IF(B8="","",IF(VLOOKUP(B8,MOSFET!$A$2:$Q$11,2,FALSE)&lt;&gt;"N","NON – canal",IF(H8&lt;2*Config!$B$11*Config!$B$17,"NON – Vdss",IF(J8&lt;Config!$B$13*Config!$B$18,"NON – Id",IF(L8&gt;Config!$B$23,"NON – Ciss",IF(OR(L8="",P8="",X8="",BQ8="",R8="",T8="",Z8=""),"DONNÉES À COMPLÉTER","OK"))))))</f>
        <v>OK</v>
      </c>
      <c r="BG8" s="2" t="str">
        <f>IF(C8="","",IF(VLOOKUP(C8,MOSFET!$A$2:$Q$11,2,FALSE)&lt;&gt;"P","NON – canal",IF(I8&lt;2*Config!$B$11*Config!$B$17,"NON – Vdss",IF(K8&lt;Config!$B$13*Config!$B$18,"NON – Id",IF(M8&gt;Config!$B$23,"NON – Ciss",IF(OR(M8="",Q8="",Y8="",BR8="",S8="",U8="",AA8=""),"DONNÉES À COMPLÉTER","OK"))))))</f>
        <v>OK</v>
      </c>
      <c r="BH8" s="2" t="str">
        <f t="shared" si="9"/>
        <v>À ÉVALUER – compatibilité faible</v>
      </c>
      <c r="BI8" s="11">
        <f>IFERROR((Config!$B$34*BY8+Config!$B$35*BZ8+Config!$B$36*CA8)/Config!$B$37,"")</f>
        <v>0.83798790322580641</v>
      </c>
      <c r="BJ8" s="11">
        <f t="shared" si="10"/>
        <v>0.43902439024390244</v>
      </c>
      <c r="BK8" s="11">
        <f t="shared" si="11"/>
        <v>0.6470588235294118</v>
      </c>
      <c r="BL8" s="11">
        <f t="shared" si="12"/>
        <v>0.62199207604372231</v>
      </c>
      <c r="BM8" s="11">
        <f t="shared" si="13"/>
        <v>1</v>
      </c>
      <c r="BN8" s="7">
        <f t="shared" si="14"/>
        <v>0.87500000000000011</v>
      </c>
      <c r="BO8" s="7">
        <f>IFERROR((Config!$B$25*BI8+Config!$B$26*BJ8+Config!$B$27*BK8+Config!$B$28*BL8+Config!$B$29*BM8+Config!$B$30*BN8)/Config!$B$31,"")</f>
        <v>0.71705888395249251</v>
      </c>
      <c r="BP8" s="17">
        <f t="shared" si="15"/>
        <v>2</v>
      </c>
      <c r="BQ8" s="8">
        <f>IFERROR(VLOOKUP($B8,MOSFET!$A$2:$Q$11,14,FALSE),"")</f>
        <v>41</v>
      </c>
      <c r="BR8" s="8">
        <f>IFERROR(VLOOKUP($C8,MOSFET!$A$2:$Q$11,14,FALSE),"")</f>
        <v>18</v>
      </c>
      <c r="BS8" s="8">
        <f t="shared" si="16"/>
        <v>2500</v>
      </c>
      <c r="BT8" s="8">
        <f t="shared" si="17"/>
        <v>3100</v>
      </c>
      <c r="BU8" s="8">
        <f t="shared" si="18"/>
        <v>1300</v>
      </c>
      <c r="BV8" s="8">
        <f t="shared" si="19"/>
        <v>1600</v>
      </c>
      <c r="BW8" s="8">
        <f t="shared" si="20"/>
        <v>220.00000000000011</v>
      </c>
      <c r="BX8" s="8">
        <f t="shared" si="21"/>
        <v>250.00000000000014</v>
      </c>
      <c r="BY8" s="8">
        <f t="shared" si="22"/>
        <v>0.80645161290322576</v>
      </c>
      <c r="BZ8" s="8">
        <f t="shared" si="23"/>
        <v>0.8125</v>
      </c>
      <c r="CA8" s="8">
        <f t="shared" si="24"/>
        <v>0.88</v>
      </c>
      <c r="CB8" s="8">
        <f>IFERROR(P8+(L8-P8)*(1-Config!$B$39),"")</f>
        <v>1300</v>
      </c>
      <c r="CC8" s="8">
        <f>IFERROR(Q8+(M8-Q8)*(1-Config!$B$39),"")</f>
        <v>1600</v>
      </c>
      <c r="CD8" t="str">
        <f>IF(OR(BF8&lt;&gt;"OK",BG8&lt;&gt;"OK"),"X – INADAPTÉ",IF(AND(BI8&gt;=Config!$B$42,CE8&gt;=Config!$B$43,CF8=0),"A – TRÈS BON CANDIDAT",IF(AND(BI8&gt;=Config!$B$44,CE8&gt;=Config!$B$45,CF8=0),"B – BON CANDIDAT","C – À ÉTUDIER")))</f>
        <v>A – TRÈS BON CANDIDAT</v>
      </c>
      <c r="CE8" s="7">
        <f t="shared" si="25"/>
        <v>0.82</v>
      </c>
      <c r="CF8">
        <f>--(BJ8&lt;Config!$B$46)+--(BK8&lt;Config!$B$47)+--(BL8&lt;Config!$B$47)+--(BM8&lt;Config!$B$47)+--(BN8&lt;Config!$B$48)</f>
        <v>0</v>
      </c>
      <c r="CG8" t="str">
        <f>IF(CF8=0,"Aucune",IF(BJ8&lt;Config!$B$46,"Qgd; ","")&amp;IF(BK8&lt;Config!$B$47,"Qg; ","")&amp;IF(BL8&lt;Config!$B$47,"gm; ","")&amp;IF(BM8&lt;Config!$B$47,"Crss; ","")&amp;IF(BN8&lt;Config!$B$48,"VGS; ",""))</f>
        <v>Aucune</v>
      </c>
      <c r="CH8" t="str">
        <f t="shared" si="26"/>
        <v>TESTÉ – À ÉVALUER</v>
      </c>
    </row>
    <row r="9" spans="1:86" ht="60">
      <c r="A9" s="2" t="s">
        <v>51</v>
      </c>
      <c r="B9" s="2" t="s">
        <v>52</v>
      </c>
      <c r="C9" s="2" t="s">
        <v>44</v>
      </c>
      <c r="D9" s="2" t="str">
        <f>IFERROR(VLOOKUP(A9,Selection!$A$17:$I$28,4,FALSE),"NON TESTÉ / NOT TESTED")</f>
        <v>TESTÉ – À ÉVALUER / TESTED – TO REVIEW</v>
      </c>
      <c r="E9" s="2">
        <f>IFERROR(VLOOKUP(A9,Selection!$A$17:$I$28,5,FALSE),"")</f>
        <v>0</v>
      </c>
      <c r="F9" s="2">
        <f>IFERROR(VLOOKUP(A9,Selection!$A$17:$I$28,6,FALSE),"")</f>
        <v>0</v>
      </c>
      <c r="G9" s="2" t="str">
        <f>IF(Config!$B$3="FR",IFERROR(T(VLOOKUP(A9,Selection!$A$17:$I$28,7,FALSE)),""),IF(IFERROR(T(VLOOKUP(A9,Selection!$A$17:$I$28,8,FALSE)),"")&lt;&gt;"",IFERROR(T(VLOOKUP(A9,Selection!$A$17:$I$28,8,FALSE)),""),IFERROR(T(VLOOKUP(A9,Selection!$A$17:$I$28,7,FALSE)),"")))</f>
        <v>Combination to validate on Q17.</v>
      </c>
      <c r="H9" s="2">
        <f>IFERROR(VLOOKUP($B9,MOSFET!$A$2:$Q$11,5,FALSE),"")</f>
        <v>200</v>
      </c>
      <c r="I9" s="2">
        <f>IFERROR(VLOOKUP($C9,MOSFET!$A$2:$Q$11,5,FALSE),"")</f>
        <v>150</v>
      </c>
      <c r="J9" s="2">
        <f>IFERROR(VLOOKUP($B9,MOSFET!$A$2:$Q$11,6,FALSE),"")</f>
        <v>50</v>
      </c>
      <c r="K9" s="2">
        <f>IFERROR(VLOOKUP($C9,MOSFET!$A$2:$Q$11,6,FALSE),"")</f>
        <v>36</v>
      </c>
      <c r="L9" s="2">
        <f>IFERROR(VLOOKUP($B9,MOSFET!$A$2:$Q$11,7,FALSE),"")</f>
        <v>2720</v>
      </c>
      <c r="M9" s="2">
        <f>IFERROR(VLOOKUP($C9,MOSFET!$A$2:$Q$11,7,FALSE),"")</f>
        <v>3100</v>
      </c>
      <c r="N9" s="2">
        <f>IFERROR(VLOOKUP($B9,MOSFET!$A$2:$Q$11,8,FALSE),"")</f>
        <v>490</v>
      </c>
      <c r="O9" s="2">
        <f>IFERROR(VLOOKUP($C9,MOSFET!$A$2:$Q$11,8,FALSE),"")</f>
        <v>610</v>
      </c>
      <c r="P9" s="2">
        <f>IFERROR(VLOOKUP($B9,MOSFET!$A$2:$Q$11,9,FALSE),"")</f>
        <v>105</v>
      </c>
      <c r="Q9" s="2">
        <f>IFERROR(VLOOKUP($C9,MOSFET!$A$2:$Q$11,9,FALSE),"")</f>
        <v>100</v>
      </c>
      <c r="R9" s="2">
        <f>IFERROR(VLOOKUP($B9,MOSFET!$A$2:$Q$11,10,FALSE),"")</f>
        <v>23</v>
      </c>
      <c r="S9" s="2">
        <f>IFERROR(VLOOKUP($C9,MOSFET!$A$2:$Q$11,10,FALSE),"")</f>
        <v>19</v>
      </c>
      <c r="T9" s="2">
        <f>IFERROR(VLOOKUP($B9,MOSFET!$A$2:$Q$11,11,FALSE),"")</f>
        <v>25</v>
      </c>
      <c r="U9" s="2">
        <f>IFERROR(VLOOKUP($C9,MOSFET!$A$2:$Q$11,11,FALSE),"")</f>
        <v>18</v>
      </c>
      <c r="V9" s="2">
        <f>IFERROR(VLOOKUP($B9,MOSFET!$A$2:$Q$11,12,FALSE),0)</f>
        <v>0</v>
      </c>
      <c r="W9" s="2">
        <f>IFERROR(VLOOKUP($C9,MOSFET!$A$2:$Q$11,12,FALSE),0)</f>
        <v>0</v>
      </c>
      <c r="X9" s="2">
        <f>IFERROR(VLOOKUP($B9,MOSFET!$A$2:$Q$11,13,FALSE),"")</f>
        <v>70</v>
      </c>
      <c r="Y9" s="2">
        <f>IFERROR(VLOOKUP($C9,MOSFET!$A$2:$Q$11,13,FALSE),"")</f>
        <v>55</v>
      </c>
      <c r="Z9" s="2">
        <f>IFERROR(VLOOKUP($B9,MOSFET!$A$2:$Q$11,16,FALSE),"")</f>
        <v>5.8</v>
      </c>
      <c r="AA9" s="2">
        <f>IFERROR(VLOOKUP($C9,MOSFET!$A$2:$Q$11,16,FALSE),"")</f>
        <v>4.8</v>
      </c>
      <c r="AB9" s="9">
        <f>IFERROR(R9*SQRT(Config!$B$13/T9),"")</f>
        <v>8.1317279836452965</v>
      </c>
      <c r="AC9" s="9">
        <f>IFERROR(S9*SQRT(Config!$B$13/U9),"")</f>
        <v>7.916666666666667</v>
      </c>
      <c r="AD9" s="9">
        <f>IFERROR((1/(2*PI()))*SQRT((1+AB9*Config!$B$12)/(Config!$B$14*0.000000001*L9*0.000000000001))/1000000,"")</f>
        <v>143.19374064769821</v>
      </c>
      <c r="AE9" s="9">
        <f>IFERROR((1/(2*PI()))*SQRT((1+AC9*Config!$B$12)/(Config!$B$14*0.000000001*M9*0.000000000001))/1000000,"")</f>
        <v>132.37216881932235</v>
      </c>
      <c r="AF9" s="9">
        <f>IFERROR((AB9*N9*Config!$B$12^2/L9)/(1+(2*PI()*AD9*1000000*N9*0.000000000001*Config!$B$12)^2),"")</f>
        <v>6.9763483106772011</v>
      </c>
      <c r="AG9" s="9">
        <f>IFERROR((AC9*O9*Config!$B$12^2/M9)/(1+(2*PI()*AE9*1000000*O9*0.000000000001*Config!$B$12)^2),"")</f>
        <v>5.7056364205032697</v>
      </c>
      <c r="AH9" s="9">
        <f>IF(AF9="","",MAX(0,Config!$B$16*AF9-V9-Config!$B$15))</f>
        <v>9.7668876349480804</v>
      </c>
      <c r="AI9" s="9">
        <f>IF(AG9="","",MAX(0,Config!$B$16*AG9-W9-Config!$B$15))</f>
        <v>7.987890988704577</v>
      </c>
      <c r="AJ9" s="2">
        <f>IF(AH9="","",IF(AH9&lt;=10,10,IF(AH9&gt;=10000,10000,IF(VLOOKUP(AH9,Notes!$F$2:$G$74,1,TRUE)=AH9,AH9,VLOOKUP(AH9,Notes!$F$2:$G$74,2,TRUE)))))</f>
        <v>10</v>
      </c>
      <c r="AK9" s="2">
        <f>IF(AI9="","",IF(AI9&lt;=10,10,IF(AI9&gt;=10000,10000,IF(VLOOKUP(AI9,Notes!$F$2:$G$74,1,TRUE)=AI9,AI9,VLOOKUP(AI9,Notes!$F$2:$G$74,2,TRUE)))))</f>
        <v>10</v>
      </c>
      <c r="AL9" s="10">
        <f t="shared" si="0"/>
        <v>5.8512846724961527</v>
      </c>
      <c r="AM9" s="10">
        <f t="shared" si="1"/>
        <v>5.1340304223192055</v>
      </c>
      <c r="AN9" s="10">
        <f t="shared" si="2"/>
        <v>5.1340304223192055</v>
      </c>
      <c r="AO9" s="2">
        <f t="shared" si="3"/>
        <v>11.397058823529409</v>
      </c>
      <c r="AP9" s="2">
        <f t="shared" si="4"/>
        <v>9.9999999999999982</v>
      </c>
      <c r="AQ9" s="2">
        <f>IF(AO9="","",IF(MAX(AH9,AO9)&lt;=10,10,IF(MAX(AH9,AO9)&gt;=10000,10000,IF(VLOOKUP(MAX(AH9,AO9),Notes!$F$2:$G$74,1,TRUE)=MAX(AH9,AO9),MAX(AH9,AO9),VLOOKUP(MAX(AH9,AO9),Notes!$F$2:$G$74,2,TRUE)))))</f>
        <v>12</v>
      </c>
      <c r="AR9" s="2">
        <f>IF(AP9="","",IF(MAX(AI9,AP9)&lt;=10,10,IF(MAX(AI9,AP9)&gt;=10000,10000,IF(VLOOKUP(MAX(AI9,AP9),Notes!$F$2:$G$74,1,TRUE)=MAX(AI9,AP9),MAX(AI9,AP9),VLOOKUP(MAX(AI9,AP9),Notes!$F$2:$G$74,2,TRUE)))))</f>
        <v>10</v>
      </c>
      <c r="AS9" s="9">
        <f>IFERROR(P9+(L9-P9)/(1+AB9*Config!$B$12),"")</f>
        <v>144.58892683003063</v>
      </c>
      <c r="AT9" s="9">
        <f>IFERROR(Q9+(M9-Q9)/(1+AC9*Config!$B$12),"")</f>
        <v>146.6321243523316</v>
      </c>
      <c r="AU9" s="9">
        <f>IFERROR(MAX(0,MIN(TAN(RADIANS(Config!$B$21))/(2*PI()*Config!$B$20*1000*AS9*0.000000000001)-V9-Config!$B$15,SQRT(10^(Config!$B$22/10)-1)/(2*PI()*Config!$B$20*1000*AS9*0.000000000001)-V9-Config!$B$15)),"")</f>
        <v>963.02348803120037</v>
      </c>
      <c r="AV9" s="9">
        <f>IFERROR(MAX(0,MIN(TAN(RADIANS(Config!$B$21))/(2*PI()*Config!$B$20*1000*AT9*0.000000000001)-W9-Config!$B$15,SQRT(10^(Config!$B$22/10)-1)/(2*PI()*Config!$B$20*1000*AT9*0.000000000001)-W9-Config!$B$15)),"")</f>
        <v>949.60455126441752</v>
      </c>
      <c r="AW9" s="2">
        <f>IF(AU9="","",IF(AU9&lt;10,"&lt;10",IF(AU9&gt;=10000,10000,VLOOKUP(AU9,Notes!$F$2:$G$74,1,TRUE))))</f>
        <v>910</v>
      </c>
      <c r="AX9" s="2">
        <f>IF(AV9="","",IF(AV9&lt;10,"&lt;10",IF(AV9&gt;=10000,10000,VLOOKUP(AV9,Notes!$F$2:$G$74,1,TRUE))))</f>
        <v>910</v>
      </c>
      <c r="AY9" s="2">
        <f>IFERROR(IF((IF(Config!$B$8="R14",Config!$B$9,Config!$B$9*CC9/CB9))&lt;=10,10,IF((IF(Config!$B$8="R14",Config!$B$9,Config!$B$9*CC9/CB9))&gt;=10000,10000,IF(ABS((IF(Config!$B$8="R14",Config!$B$9,Config!$B$9*CC9/CB9))-VLOOKUP((IF(Config!$B$8="R14",Config!$B$9,Config!$B$9*CC9/CB9)),Notes!$F$2:$G$74,1,TRUE))&lt;=ABS(VLOOKUP((IF(Config!$B$8="R14",Config!$B$9,Config!$B$9*CC9/CB9)),Notes!$F$2:$G$74,2,TRUE)-(IF(Config!$B$8="R14",Config!$B$9,Config!$B$9*CC9/CB9))),VLOOKUP((IF(Config!$B$8="R14",Config!$B$9,Config!$B$9*CC9/CB9)),Notes!$F$2:$G$74,1,TRUE),VLOOKUP((IF(Config!$B$8="R14",Config!$B$9,Config!$B$9*CC9/CB9)),Notes!$F$2:$G$74,2,TRUE)))),"")</f>
        <v>100</v>
      </c>
      <c r="AZ9" s="2">
        <f>IFERROR(IF((IF(Config!$B$8="R15",Config!$B$9,Config!$B$9*CB9/CC9))&lt;=10,10,IF((IF(Config!$B$8="R15",Config!$B$9,Config!$B$9*CB9/CC9))&gt;=10000,10000,IF(ABS((IF(Config!$B$8="R15",Config!$B$9,Config!$B$9*CB9/CC9))-VLOOKUP((IF(Config!$B$8="R15",Config!$B$9,Config!$B$9*CB9/CC9)),Notes!$F$2:$G$74,1,TRUE))&lt;=ABS(VLOOKUP((IF(Config!$B$8="R15",Config!$B$9,Config!$B$9*CB9/CC9)),Notes!$F$2:$G$74,2,TRUE)-(IF(Config!$B$8="R15",Config!$B$9,Config!$B$9*CB9/CC9))),VLOOKUP((IF(Config!$B$8="R15",Config!$B$9,Config!$B$9*CB9/CC9)),Notes!$F$2:$G$74,1,TRUE),VLOOKUP((IF(Config!$B$8="R15",Config!$B$9,Config!$B$9*CB9/CC9)),Notes!$F$2:$G$74,2,TRUE)))),"")</f>
        <v>91</v>
      </c>
      <c r="BA9" s="2" t="str">
        <f>IF(OR(AW9="&lt;10",AX9="&lt;10"),"NO",IF(AND(AY9&gt;=AJ9,AY9&lt;=AW9,AZ9&gt;=AK9,AZ9&lt;=AX9,ABS(1/(AY9*L9)-1/(AZ9*M9))/MIN(1/(AY9*L9),1/(AZ9*M9))&lt;=Config!$B$19),"YES","NO"))</f>
        <v>YES</v>
      </c>
      <c r="BB9" s="18">
        <f t="shared" si="5"/>
        <v>100</v>
      </c>
      <c r="BC9" s="18">
        <f t="shared" si="6"/>
        <v>91</v>
      </c>
      <c r="BD9" s="2" t="str">
        <f t="shared" si="7"/>
        <v>CIBLE INITIALE</v>
      </c>
      <c r="BE9" s="11">
        <f t="shared" si="8"/>
        <v>3.0796460176991152E-2</v>
      </c>
      <c r="BF9" s="2" t="str">
        <f>IF(B9="","",IF(VLOOKUP(B9,MOSFET!$A$2:$Q$11,2,FALSE)&lt;&gt;"N","NON – canal",IF(H9&lt;2*Config!$B$11*Config!$B$17,"NON – Vdss",IF(J9&lt;Config!$B$13*Config!$B$18,"NON – Id",IF(L9&gt;Config!$B$23,"NON – Ciss",IF(OR(L9="",P9="",X9="",BQ9="",R9="",T9="",Z9=""),"DONNÉES À COMPLÉTER","OK"))))))</f>
        <v>OK</v>
      </c>
      <c r="BG9" s="2" t="str">
        <f>IF(C9="","",IF(VLOOKUP(C9,MOSFET!$A$2:$Q$11,2,FALSE)&lt;&gt;"P","NON – canal",IF(I9&lt;2*Config!$B$11*Config!$B$17,"NON – Vdss",IF(K9&lt;Config!$B$13*Config!$B$18,"NON – Id",IF(M9&gt;Config!$B$23,"NON – Ciss",IF(OR(M9="",Q9="",Y9="",BR9="",S9="",U9="",AA9=""),"DONNÉES À COMPLÉTER","OK"))))))</f>
        <v>OK</v>
      </c>
      <c r="BH9" s="2" t="str">
        <f t="shared" si="9"/>
        <v>OUI – paire acceptable / test scope requis</v>
      </c>
      <c r="BI9" s="11">
        <f>IFERROR((Config!$B$34*BY9+Config!$B$35*BZ9+Config!$B$36*CA9)/Config!$B$37,"")</f>
        <v>0.90553921370967738</v>
      </c>
      <c r="BJ9" s="11">
        <f t="shared" si="10"/>
        <v>0.48648648648648651</v>
      </c>
      <c r="BK9" s="11">
        <f t="shared" si="11"/>
        <v>0.7857142857142857</v>
      </c>
      <c r="BL9" s="11">
        <f t="shared" si="12"/>
        <v>0.97355281467713073</v>
      </c>
      <c r="BM9" s="11">
        <f t="shared" si="13"/>
        <v>0.95238095238095233</v>
      </c>
      <c r="BN9" s="7">
        <f t="shared" si="14"/>
        <v>0.82758620689655171</v>
      </c>
      <c r="BO9" s="7">
        <f>IFERROR((Config!$B$25*BI9+Config!$B$26*BJ9+Config!$B$27*BK9+Config!$B$28*BL9+Config!$B$29*BM9+Config!$B$30*BN9)/Config!$B$31,"")</f>
        <v>0.81084584239666335</v>
      </c>
      <c r="BP9" s="17">
        <f t="shared" si="15"/>
        <v>3</v>
      </c>
      <c r="BQ9" s="8">
        <f>IFERROR(VLOOKUP($B9,MOSFET!$A$2:$Q$11,14,FALSE),"")</f>
        <v>37</v>
      </c>
      <c r="BR9" s="8">
        <f>IFERROR(VLOOKUP($C9,MOSFET!$A$2:$Q$11,14,FALSE),"")</f>
        <v>18</v>
      </c>
      <c r="BS9" s="8">
        <f t="shared" si="16"/>
        <v>2720</v>
      </c>
      <c r="BT9" s="8">
        <f t="shared" si="17"/>
        <v>3100</v>
      </c>
      <c r="BU9" s="8">
        <f t="shared" si="18"/>
        <v>1412.5</v>
      </c>
      <c r="BV9" s="8">
        <f t="shared" si="19"/>
        <v>1600</v>
      </c>
      <c r="BW9" s="8">
        <f t="shared" si="20"/>
        <v>235.75000000000011</v>
      </c>
      <c r="BX9" s="8">
        <f t="shared" si="21"/>
        <v>250.00000000000014</v>
      </c>
      <c r="BY9" s="8">
        <f t="shared" si="22"/>
        <v>0.8774193548387097</v>
      </c>
      <c r="BZ9" s="8">
        <f t="shared" si="23"/>
        <v>0.8828125</v>
      </c>
      <c r="CA9" s="8">
        <f t="shared" si="24"/>
        <v>0.94299999999999995</v>
      </c>
      <c r="CB9" s="8">
        <f>IFERROR(P9+(L9-P9)*(1-Config!$B$39),"")</f>
        <v>1412.5</v>
      </c>
      <c r="CC9" s="8">
        <f>IFERROR(Q9+(M9-Q9)*(1-Config!$B$39),"")</f>
        <v>1600</v>
      </c>
      <c r="CD9" t="str">
        <f>IF(OR(BF9&lt;&gt;"OK",BG9&lt;&gt;"OK"),"X – INADAPTÉ",IF(AND(BI9&gt;=Config!$B$42,CE9&gt;=Config!$B$43,CF9=0),"A – TRÈS BON CANDIDAT",IF(AND(BI9&gt;=Config!$B$44,CE9&gt;=Config!$B$45,CF9=0),"B – BON CANDIDAT","C – À ÉTUDIER")))</f>
        <v>A – TRÈS BON CANDIDAT</v>
      </c>
      <c r="CE9" s="7">
        <f t="shared" si="25"/>
        <v>0.91</v>
      </c>
      <c r="CF9">
        <f>--(BJ9&lt;Config!$B$46)+--(BK9&lt;Config!$B$47)+--(BL9&lt;Config!$B$47)+--(BM9&lt;Config!$B$47)+--(BN9&lt;Config!$B$48)</f>
        <v>0</v>
      </c>
      <c r="CG9" t="str">
        <f>IF(CF9=0,"Aucune",IF(BJ9&lt;Config!$B$46,"Qgd; ","")&amp;IF(BK9&lt;Config!$B$47,"Qg; ","")&amp;IF(BL9&lt;Config!$B$47,"gm; ","")&amp;IF(BM9&lt;Config!$B$47,"Crss; ","")&amp;IF(BN9&lt;Config!$B$48,"VGS; ",""))</f>
        <v>Aucune</v>
      </c>
      <c r="CH9" t="str">
        <f t="shared" si="26"/>
        <v>TESTÉ – À ÉVALUER</v>
      </c>
    </row>
    <row r="10" spans="1:86" ht="60">
      <c r="A10" s="2" t="s">
        <v>54</v>
      </c>
      <c r="B10" s="2" t="s">
        <v>52</v>
      </c>
      <c r="C10" s="2" t="s">
        <v>32</v>
      </c>
      <c r="D10" s="2" t="str">
        <f>IFERROR(VLOOKUP(A10,Selection!$A$17:$I$28,4,FALSE),"NON TESTÉ / NOT TESTED")</f>
        <v>TESTÉ – À ÉVALUER / TESTED – TO REVIEW</v>
      </c>
      <c r="E10" s="2">
        <f>IFERROR(VLOOKUP(A10,Selection!$A$17:$I$28,5,FALSE),"")</f>
        <v>0</v>
      </c>
      <c r="F10" s="2">
        <f>IFERROR(VLOOKUP(A10,Selection!$A$17:$I$28,6,FALSE),"")</f>
        <v>0</v>
      </c>
      <c r="G10" s="2" t="str">
        <f>IF(Config!$B$3="FR",IFERROR(T(VLOOKUP(A10,Selection!$A$17:$I$28,7,FALSE)),""),IF(IFERROR(T(VLOOKUP(A10,Selection!$A$17:$I$28,8,FALSE)),"")&lt;&gt;"",IFERROR(T(VLOOKUP(A10,Selection!$A$17:$I$28,8,FALSE)),""),IFERROR(T(VLOOKUP(A10,Selection!$A$17:$I$28,7,FALSE)),"")))</f>
        <v>Combination to validate on Q17.</v>
      </c>
      <c r="H10" s="2">
        <f>IFERROR(VLOOKUP($B10,MOSFET!$A$2:$Q$11,5,FALSE),"")</f>
        <v>200</v>
      </c>
      <c r="I10" s="2">
        <f>IFERROR(VLOOKUP($C10,MOSFET!$A$2:$Q$11,5,FALSE),"")</f>
        <v>150</v>
      </c>
      <c r="J10" s="2">
        <f>IFERROR(VLOOKUP($B10,MOSFET!$A$2:$Q$11,6,FALSE),"")</f>
        <v>50</v>
      </c>
      <c r="K10" s="2">
        <f>IFERROR(VLOOKUP($C10,MOSFET!$A$2:$Q$11,6,FALSE),"")</f>
        <v>36</v>
      </c>
      <c r="L10" s="2">
        <f>IFERROR(VLOOKUP($B10,MOSFET!$A$2:$Q$11,7,FALSE),"")</f>
        <v>2720</v>
      </c>
      <c r="M10" s="2">
        <f>IFERROR(VLOOKUP($C10,MOSFET!$A$2:$Q$11,7,FALSE),"")</f>
        <v>2550</v>
      </c>
      <c r="N10" s="2">
        <f>IFERROR(VLOOKUP($B10,MOSFET!$A$2:$Q$11,8,FALSE),"")</f>
        <v>490</v>
      </c>
      <c r="O10" s="2">
        <f>IFERROR(VLOOKUP($C10,MOSFET!$A$2:$Q$11,8,FALSE),"")</f>
        <v>710</v>
      </c>
      <c r="P10" s="2">
        <f>IFERROR(VLOOKUP($B10,MOSFET!$A$2:$Q$11,9,FALSE),"")</f>
        <v>105</v>
      </c>
      <c r="Q10" s="2">
        <f>IFERROR(VLOOKUP($C10,MOSFET!$A$2:$Q$11,9,FALSE),"")</f>
        <v>110</v>
      </c>
      <c r="R10" s="2">
        <f>IFERROR(VLOOKUP($B10,MOSFET!$A$2:$Q$11,10,FALSE),"")</f>
        <v>23</v>
      </c>
      <c r="S10" s="2">
        <f>IFERROR(VLOOKUP($C10,MOSFET!$A$2:$Q$11,10,FALSE),"")</f>
        <v>19.5</v>
      </c>
      <c r="T10" s="2">
        <f>IFERROR(VLOOKUP($B10,MOSFET!$A$2:$Q$11,11,FALSE),"")</f>
        <v>25</v>
      </c>
      <c r="U10" s="2">
        <f>IFERROR(VLOOKUP($C10,MOSFET!$A$2:$Q$11,11,FALSE),"")</f>
        <v>18</v>
      </c>
      <c r="V10" s="2">
        <f>IFERROR(VLOOKUP($B10,MOSFET!$A$2:$Q$11,12,FALSE),0)</f>
        <v>0</v>
      </c>
      <c r="W10" s="2">
        <f>IFERROR(VLOOKUP($C10,MOSFET!$A$2:$Q$11,12,FALSE),0)</f>
        <v>0</v>
      </c>
      <c r="X10" s="2">
        <f>IFERROR(VLOOKUP($B10,MOSFET!$A$2:$Q$11,13,FALSE),"")</f>
        <v>70</v>
      </c>
      <c r="Y10" s="2">
        <f>IFERROR(VLOOKUP($C10,MOSFET!$A$2:$Q$11,13,FALSE),"")</f>
        <v>81</v>
      </c>
      <c r="Z10" s="2">
        <f>IFERROR(VLOOKUP($B10,MOSFET!$A$2:$Q$11,16,FALSE),"")</f>
        <v>5.8</v>
      </c>
      <c r="AA10" s="2">
        <f>IFERROR(VLOOKUP($C10,MOSFET!$A$2:$Q$11,16,FALSE),"")</f>
        <v>4.3</v>
      </c>
      <c r="AB10" s="9">
        <f>IFERROR(R10*SQRT(Config!$B$13/T10),"")</f>
        <v>8.1317279836452965</v>
      </c>
      <c r="AC10" s="9">
        <f>IFERROR(S10*SQRT(Config!$B$13/U10),"")</f>
        <v>8.125</v>
      </c>
      <c r="AD10" s="9">
        <f>IFERROR((1/(2*PI()))*SQRT((1+AB10*Config!$B$12)/(Config!$B$14*0.000000001*L10*0.000000000001))/1000000,"")</f>
        <v>143.19374064769821</v>
      </c>
      <c r="AE10" s="9">
        <f>IFERROR((1/(2*PI()))*SQRT((1+AC10*Config!$B$12)/(Config!$B$14*0.000000001*M10*0.000000000001))/1000000,"")</f>
        <v>147.82959321035662</v>
      </c>
      <c r="AF10" s="9">
        <f>IFERROR((AB10*N10*Config!$B$12^2/L10)/(1+(2*PI()*AD10*1000000*N10*0.000000000001*Config!$B$12)^2),"")</f>
        <v>6.9763483106772011</v>
      </c>
      <c r="AG10" s="9">
        <f>IFERROR((AC10*O10*Config!$B$12^2/M10)/(1+(2*PI()*AE10*1000000*O10*0.000000000001*Config!$B$12)^2),"")</f>
        <v>5.0212655765315954</v>
      </c>
      <c r="AH10" s="9">
        <f>IF(AF10="","",MAX(0,Config!$B$16*AF10-V10-Config!$B$15))</f>
        <v>9.7668876349480804</v>
      </c>
      <c r="AI10" s="9">
        <f>IF(AG10="","",MAX(0,Config!$B$16*AG10-W10-Config!$B$15))</f>
        <v>7.0297718071442334</v>
      </c>
      <c r="AJ10" s="2">
        <f>IF(AH10="","",IF(AH10&lt;=10,10,IF(AH10&gt;=10000,10000,IF(VLOOKUP(AH10,Notes!$F$2:$G$74,1,TRUE)=AH10,AH10,VLOOKUP(AH10,Notes!$F$2:$G$74,2,TRUE)))))</f>
        <v>10</v>
      </c>
      <c r="AK10" s="2">
        <f>IF(AI10="","",IF(AI10&lt;=10,10,IF(AI10&gt;=10000,10000,IF(VLOOKUP(AI10,Notes!$F$2:$G$74,1,TRUE)=AI10,AI10,VLOOKUP(AI10,Notes!$F$2:$G$74,2,TRUE)))))</f>
        <v>10</v>
      </c>
      <c r="AL10" s="10">
        <f t="shared" si="0"/>
        <v>5.8512846724961527</v>
      </c>
      <c r="AM10" s="10">
        <f t="shared" si="1"/>
        <v>6.2413703173292285</v>
      </c>
      <c r="AN10" s="10">
        <f t="shared" si="2"/>
        <v>5.8512846724961527</v>
      </c>
      <c r="AO10" s="2">
        <f t="shared" si="3"/>
        <v>10</v>
      </c>
      <c r="AP10" s="2">
        <f t="shared" si="4"/>
        <v>10.666666666666666</v>
      </c>
      <c r="AQ10" s="2">
        <f>IF(AO10="","",IF(MAX(AH10,AO10)&lt;=10,10,IF(MAX(AH10,AO10)&gt;=10000,10000,IF(VLOOKUP(MAX(AH10,AO10),Notes!$F$2:$G$74,1,TRUE)=MAX(AH10,AO10),MAX(AH10,AO10),VLOOKUP(MAX(AH10,AO10),Notes!$F$2:$G$74,2,TRUE)))))</f>
        <v>10</v>
      </c>
      <c r="AR10" s="2">
        <f>IF(AP10="","",IF(MAX(AI10,AP10)&lt;=10,10,IF(MAX(AI10,AP10)&gt;=10000,10000,IF(VLOOKUP(MAX(AI10,AP10),Notes!$F$2:$G$74,1,TRUE)=MAX(AI10,AP10),MAX(AI10,AP10),VLOOKUP(MAX(AI10,AP10),Notes!$F$2:$G$74,2,TRUE)))))</f>
        <v>11</v>
      </c>
      <c r="AS10" s="9">
        <f>IFERROR(P10+(L10-P10)/(1+AB10*Config!$B$12),"")</f>
        <v>144.58892683003063</v>
      </c>
      <c r="AT10" s="9">
        <f>IFERROR(Q10+(M10-Q10)/(1+AC10*Config!$B$12),"")</f>
        <v>146.96969696969697</v>
      </c>
      <c r="AU10" s="9">
        <f>IFERROR(MAX(0,MIN(TAN(RADIANS(Config!$B$21))/(2*PI()*Config!$B$20*1000*AS10*0.000000000001)-V10-Config!$B$15,SQRT(10^(Config!$B$22/10)-1)/(2*PI()*Config!$B$20*1000*AS10*0.000000000001)-V10-Config!$B$15)),"")</f>
        <v>963.02348803120037</v>
      </c>
      <c r="AV10" s="9">
        <f>IFERROR(MAX(0,MIN(TAN(RADIANS(Config!$B$21))/(2*PI()*Config!$B$20*1000*AT10*0.000000000001)-W10-Config!$B$15,SQRT(10^(Config!$B$22/10)-1)/(2*PI()*Config!$B$20*1000*AT10*0.000000000001)-W10-Config!$B$15)),"")</f>
        <v>947.4234180074136</v>
      </c>
      <c r="AW10" s="2">
        <f>IF(AU10="","",IF(AU10&lt;10,"&lt;10",IF(AU10&gt;=10000,10000,VLOOKUP(AU10,Notes!$F$2:$G$74,1,TRUE))))</f>
        <v>910</v>
      </c>
      <c r="AX10" s="2">
        <f>IF(AV10="","",IF(AV10&lt;10,"&lt;10",IF(AV10&gt;=10000,10000,VLOOKUP(AV10,Notes!$F$2:$G$74,1,TRUE))))</f>
        <v>910</v>
      </c>
      <c r="AY10" s="2">
        <f>IFERROR(IF((IF(Config!$B$8="R14",Config!$B$9,Config!$B$9*CC10/CB10))&lt;=10,10,IF((IF(Config!$B$8="R14",Config!$B$9,Config!$B$9*CC10/CB10))&gt;=10000,10000,IF(ABS((IF(Config!$B$8="R14",Config!$B$9,Config!$B$9*CC10/CB10))-VLOOKUP((IF(Config!$B$8="R14",Config!$B$9,Config!$B$9*CC10/CB10)),Notes!$F$2:$G$74,1,TRUE))&lt;=ABS(VLOOKUP((IF(Config!$B$8="R14",Config!$B$9,Config!$B$9*CC10/CB10)),Notes!$F$2:$G$74,2,TRUE)-(IF(Config!$B$8="R14",Config!$B$9,Config!$B$9*CC10/CB10))),VLOOKUP((IF(Config!$B$8="R14",Config!$B$9,Config!$B$9*CC10/CB10)),Notes!$F$2:$G$74,1,TRUE),VLOOKUP((IF(Config!$B$8="R14",Config!$B$9,Config!$B$9*CC10/CB10)),Notes!$F$2:$G$74,2,TRUE)))),"")</f>
        <v>100</v>
      </c>
      <c r="AZ10" s="2">
        <f>IFERROR(IF((IF(Config!$B$8="R15",Config!$B$9,Config!$B$9*CB10/CC10))&lt;=10,10,IF((IF(Config!$B$8="R15",Config!$B$9,Config!$B$9*CB10/CC10))&gt;=10000,10000,IF(ABS((IF(Config!$B$8="R15",Config!$B$9,Config!$B$9*CB10/CC10))-VLOOKUP((IF(Config!$B$8="R15",Config!$B$9,Config!$B$9*CB10/CC10)),Notes!$F$2:$G$74,1,TRUE))&lt;=ABS(VLOOKUP((IF(Config!$B$8="R15",Config!$B$9,Config!$B$9*CB10/CC10)),Notes!$F$2:$G$74,2,TRUE)-(IF(Config!$B$8="R15",Config!$B$9,Config!$B$9*CB10/CC10))),VLOOKUP((IF(Config!$B$8="R15",Config!$B$9,Config!$B$9*CB10/CC10)),Notes!$F$2:$G$74,1,TRUE),VLOOKUP((IF(Config!$B$8="R15",Config!$B$9,Config!$B$9*CB10/CC10)),Notes!$F$2:$G$74,2,TRUE)))),"")</f>
        <v>110</v>
      </c>
      <c r="BA10" s="2" t="str">
        <f>IF(OR(AW10="&lt;10",AX10="&lt;10"),"NO",IF(AND(AY10&gt;=AJ10,AY10&lt;=AW10,AZ10&gt;=AK10,AZ10&lt;=AX10,ABS(1/(AY10*L10)-1/(AZ10*M10))/MIN(1/(AY10*L10),1/(AZ10*M10))&lt;=Config!$B$19),"YES","NO"))</f>
        <v>YES</v>
      </c>
      <c r="BB10" s="18">
        <f t="shared" si="5"/>
        <v>100</v>
      </c>
      <c r="BC10" s="18">
        <f t="shared" si="6"/>
        <v>110</v>
      </c>
      <c r="BD10" s="2" t="str">
        <f t="shared" si="7"/>
        <v>CIBLE INITIALE</v>
      </c>
      <c r="BE10" s="11">
        <f t="shared" si="8"/>
        <v>3.5752212389380533E-2</v>
      </c>
      <c r="BF10" s="2" t="str">
        <f>IF(B10="","",IF(VLOOKUP(B10,MOSFET!$A$2:$Q$11,2,FALSE)&lt;&gt;"N","NON – canal",IF(H10&lt;2*Config!$B$11*Config!$B$17,"NON – Vdss",IF(J10&lt;Config!$B$13*Config!$B$18,"NON – Id",IF(L10&gt;Config!$B$23,"NON – Ciss",IF(OR(L10="",P10="",X10="",BQ10="",R10="",T10="",Z10=""),"DONNÉES À COMPLÉTER","OK"))))))</f>
        <v>OK</v>
      </c>
      <c r="BG10" s="2" t="str">
        <f>IF(C10="","",IF(VLOOKUP(C10,MOSFET!$A$2:$Q$11,2,FALSE)&lt;&gt;"P","NON – canal",IF(I10&lt;2*Config!$B$11*Config!$B$17,"NON – Vdss",IF(K10&lt;Config!$B$13*Config!$B$18,"NON – Id",IF(M10&gt;Config!$B$23,"NON – Ciss",IF(OR(M10="",Q10="",Y10="",BR10="",S10="",U10="",AA10=""),"DONNÉES À COMPLÉTER","OK"))))))</f>
        <v>OK</v>
      </c>
      <c r="BH10" s="2" t="str">
        <f t="shared" si="9"/>
        <v>OUI – paire prioritaire / test scope requis</v>
      </c>
      <c r="BI10" s="11">
        <f>IFERROR((Config!$B$34*BY10+Config!$B$35*BZ10+Config!$B$36*CA10)/Config!$B$37,"")</f>
        <v>0.95756984980151838</v>
      </c>
      <c r="BJ10" s="11">
        <f t="shared" si="10"/>
        <v>0.88095238095238093</v>
      </c>
      <c r="BK10" s="11">
        <f t="shared" si="11"/>
        <v>0.86419753086419748</v>
      </c>
      <c r="BL10" s="11">
        <f t="shared" si="12"/>
        <v>0.99917262558968678</v>
      </c>
      <c r="BM10" s="11">
        <f t="shared" si="13"/>
        <v>0.95454545454545459</v>
      </c>
      <c r="BN10" s="7">
        <f t="shared" si="14"/>
        <v>0.74137931034482762</v>
      </c>
      <c r="BO10" s="7">
        <f>IFERROR((Config!$B$25*BI10+Config!$B$26*BJ10+Config!$B$27*BK10+Config!$B$28*BL10+Config!$B$29*BM10+Config!$B$30*BN10)/Config!$B$31,"")</f>
        <v>0.91255943108804261</v>
      </c>
      <c r="BP10" s="17">
        <f t="shared" si="15"/>
        <v>5</v>
      </c>
      <c r="BQ10" s="8">
        <f>IFERROR(VLOOKUP($B10,MOSFET!$A$2:$Q$11,14,FALSE),"")</f>
        <v>37</v>
      </c>
      <c r="BR10" s="8">
        <f>IFERROR(VLOOKUP($C10,MOSFET!$A$2:$Q$11,14,FALSE),"")</f>
        <v>42</v>
      </c>
      <c r="BS10" s="8">
        <f t="shared" si="16"/>
        <v>2720</v>
      </c>
      <c r="BT10" s="8">
        <f t="shared" si="17"/>
        <v>2550</v>
      </c>
      <c r="BU10" s="8">
        <f t="shared" si="18"/>
        <v>1412.5</v>
      </c>
      <c r="BV10" s="8">
        <f t="shared" si="19"/>
        <v>1330</v>
      </c>
      <c r="BW10" s="8">
        <f t="shared" si="20"/>
        <v>235.75000000000011</v>
      </c>
      <c r="BX10" s="8">
        <f t="shared" si="21"/>
        <v>232.00000000000011</v>
      </c>
      <c r="BY10" s="8">
        <f t="shared" si="22"/>
        <v>0.9375</v>
      </c>
      <c r="BZ10" s="8">
        <f t="shared" si="23"/>
        <v>0.94159292035398234</v>
      </c>
      <c r="CA10" s="8">
        <f t="shared" si="24"/>
        <v>0.98409331919406151</v>
      </c>
      <c r="CB10" s="8">
        <f>IFERROR(P10+(L10-P10)*(1-Config!$B$39),"")</f>
        <v>1412.5</v>
      </c>
      <c r="CC10" s="8">
        <f>IFERROR(Q10+(M10-Q10)*(1-Config!$B$39),"")</f>
        <v>1330</v>
      </c>
      <c r="CD10" t="str">
        <f>IF(OR(BF10&lt;&gt;"OK",BG10&lt;&gt;"OK"),"X – INADAPTÉ",IF(AND(BI10&gt;=Config!$B$42,CE10&gt;=Config!$B$43,CF10=0),"A – TRÈS BON CANDIDAT",IF(AND(BI10&gt;=Config!$B$44,CE10&gt;=Config!$B$45,CF10=0),"B – BON CANDIDAT","C – À ÉTUDIER")))</f>
        <v>A – TRÈS BON CANDIDAT</v>
      </c>
      <c r="CE10" s="7">
        <f t="shared" si="25"/>
        <v>0.90909090909090906</v>
      </c>
      <c r="CF10">
        <f>--(BJ10&lt;Config!$B$46)+--(BK10&lt;Config!$B$47)+--(BL10&lt;Config!$B$47)+--(BM10&lt;Config!$B$47)+--(BN10&lt;Config!$B$48)</f>
        <v>0</v>
      </c>
      <c r="CG10" t="str">
        <f>IF(CF10=0,"Aucune",IF(BJ10&lt;Config!$B$46,"Qgd; ","")&amp;IF(BK10&lt;Config!$B$47,"Qg; ","")&amp;IF(BL10&lt;Config!$B$47,"gm; ","")&amp;IF(BM10&lt;Config!$B$47,"Crss; ","")&amp;IF(BN10&lt;Config!$B$48,"VGS; ",""))</f>
        <v>Aucune</v>
      </c>
      <c r="CH10" t="str">
        <f t="shared" si="26"/>
        <v>TESTÉ – À ÉVALUER</v>
      </c>
    </row>
    <row r="11" spans="1:86" ht="60">
      <c r="A11" s="2" t="s">
        <v>56</v>
      </c>
      <c r="B11" s="2" t="s">
        <v>31</v>
      </c>
      <c r="C11" s="2" t="s">
        <v>57</v>
      </c>
      <c r="D11" s="2" t="str">
        <f>IFERROR(VLOOKUP(A11,Selection!$A$17:$I$28,4,FALSE),"NON TESTÉ / NOT TESTED")</f>
        <v>NON TESTÉ / NOT TESTED</v>
      </c>
      <c r="E11" s="2">
        <f>IFERROR(VLOOKUP(A11,Selection!$A$17:$I$28,5,FALSE),"")</f>
        <v>0</v>
      </c>
      <c r="F11" s="2">
        <f>IFERROR(VLOOKUP(A11,Selection!$A$17:$I$28,6,FALSE),"")</f>
        <v>0</v>
      </c>
      <c r="G11" s="2" t="str">
        <f>IF(Config!$B$3="FR",IFERROR(T(VLOOKUP(A11,Selection!$A$17:$I$28,7,FALSE)),""),IF(IFERROR(T(VLOOKUP(A11,Selection!$A$17:$I$28,8,FALSE)),"")&lt;&gt;"",IFERROR(T(VLOOKUP(A11,Selection!$A$17:$I$28,8,FALSE)),""),IFERROR(T(VLOOKUP(A11,Selection!$A$17:$I$28,7,FALSE)),"")))</f>
        <v>Combination to validate on Q17.</v>
      </c>
      <c r="H11" s="2">
        <f>IFERROR(VLOOKUP($B11,MOSFET!$A$2:$Q$11,5,FALSE),"")</f>
        <v>150</v>
      </c>
      <c r="I11" s="2">
        <f>IFERROR(VLOOKUP($C11,MOSFET!$A$2:$Q$11,5,FALSE),"")</f>
        <v>200</v>
      </c>
      <c r="J11" s="2">
        <f>IFERROR(VLOOKUP($B11,MOSFET!$A$2:$Q$11,6,FALSE),"")</f>
        <v>50</v>
      </c>
      <c r="K11" s="2">
        <f>IFERROR(VLOOKUP($C11,MOSFET!$A$2:$Q$11,6,FALSE),"")</f>
        <v>26</v>
      </c>
      <c r="L11" s="2">
        <f>IFERROR(VLOOKUP($B11,MOSFET!$A$2:$Q$11,7,FALSE),"")</f>
        <v>2500</v>
      </c>
      <c r="M11" s="2">
        <f>IFERROR(VLOOKUP($C11,MOSFET!$A$2:$Q$11,7,FALSE),"")</f>
        <v>2740</v>
      </c>
      <c r="N11" s="2">
        <f>IFERROR(VLOOKUP($B11,MOSFET!$A$2:$Q$11,8,FALSE),"")</f>
        <v>520</v>
      </c>
      <c r="O11" s="2">
        <f>IFERROR(VLOOKUP($C11,MOSFET!$A$2:$Q$11,8,FALSE),"")</f>
        <v>540</v>
      </c>
      <c r="P11" s="2">
        <f>IFERROR(VLOOKUP($B11,MOSFET!$A$2:$Q$11,9,FALSE),"")</f>
        <v>100</v>
      </c>
      <c r="Q11" s="2">
        <f>IFERROR(VLOOKUP($C11,MOSFET!$A$2:$Q$11,9,FALSE),"")</f>
        <v>100</v>
      </c>
      <c r="R11" s="2">
        <f>IFERROR(VLOOKUP($B11,MOSFET!$A$2:$Q$11,10,FALSE),"")</f>
        <v>36</v>
      </c>
      <c r="S11" s="2">
        <f>IFERROR(VLOOKUP($C11,MOSFET!$A$2:$Q$11,10,FALSE),"")</f>
        <v>17</v>
      </c>
      <c r="T11" s="2">
        <f>IFERROR(VLOOKUP($B11,MOSFET!$A$2:$Q$11,11,FALSE),"")</f>
        <v>25</v>
      </c>
      <c r="U11" s="2">
        <f>IFERROR(VLOOKUP($C11,MOSFET!$A$2:$Q$11,11,FALSE),"")</f>
        <v>13</v>
      </c>
      <c r="V11" s="2">
        <f>IFERROR(VLOOKUP($B11,MOSFET!$A$2:$Q$11,12,FALSE),0)</f>
        <v>0</v>
      </c>
      <c r="W11" s="2">
        <f>IFERROR(VLOOKUP($C11,MOSFET!$A$2:$Q$11,12,FALSE),0)</f>
        <v>0</v>
      </c>
      <c r="X11" s="2">
        <f>IFERROR(VLOOKUP($B11,MOSFET!$A$2:$Q$11,13,FALSE),"")</f>
        <v>85</v>
      </c>
      <c r="Y11" s="2">
        <f>IFERROR(VLOOKUP($C11,MOSFET!$A$2:$Q$11,13,FALSE),"")</f>
        <v>56</v>
      </c>
      <c r="Z11" s="2">
        <f>IFERROR(VLOOKUP($B11,MOSFET!$A$2:$Q$11,16,FALSE),"")</f>
        <v>4.2</v>
      </c>
      <c r="AA11" s="2">
        <f>IFERROR(VLOOKUP($C11,MOSFET!$A$2:$Q$11,16,FALSE),"")</f>
        <v>4.4000000000000004</v>
      </c>
      <c r="AB11" s="9">
        <f>IFERROR(R11*SQRT(Config!$B$13/T11),"")</f>
        <v>12.727922061357857</v>
      </c>
      <c r="AC11" s="9">
        <f>IFERROR(S11*SQRT(Config!$B$13/U11),"")</f>
        <v>8.3349357433728226</v>
      </c>
      <c r="AD11" s="9">
        <f>IFERROR((1/(2*PI()))*SQRT((1+AB11*Config!$B$12)/(Config!$B$14*0.000000001*L11*0.000000000001))/1000000,"")</f>
        <v>186.35258885739466</v>
      </c>
      <c r="AE11" s="9">
        <f>IFERROR((1/(2*PI()))*SQRT((1+AC11*Config!$B$12)/(Config!$B$14*0.000000001*M11*0.000000000001))/1000000,"")</f>
        <v>144.41514763887656</v>
      </c>
      <c r="AF11" s="9">
        <f>IFERROR((AB11*N11*Config!$B$12^2/L11)/(1+(2*PI()*AD11*1000000*N11*0.000000000001*Config!$B$12)^2),"")</f>
        <v>6.852577005052809</v>
      </c>
      <c r="AG11" s="9">
        <f>IFERROR((AC11*O11*Config!$B$12^2/M11)/(1+(2*PI()*AE11*1000000*O11*0.000000000001*Config!$B$12)^2),"")</f>
        <v>6.4237774505538843</v>
      </c>
      <c r="AH11" s="9">
        <f>IF(AF11="","",MAX(0,Config!$B$16*AF11-V11-Config!$B$15))</f>
        <v>9.5936078070739317</v>
      </c>
      <c r="AI11" s="9">
        <f>IF(AG11="","",MAX(0,Config!$B$16*AG11-W11-Config!$B$15))</f>
        <v>8.9932884307754382</v>
      </c>
      <c r="AJ11" s="2">
        <f>IF(AH11="","",IF(AH11&lt;=10,10,IF(AH11&gt;=10000,10000,IF(VLOOKUP(AH11,Notes!$F$2:$G$74,1,TRUE)=AH11,AH11,VLOOKUP(AH11,Notes!$F$2:$G$74,2,TRUE)))))</f>
        <v>10</v>
      </c>
      <c r="AK11" s="2">
        <f>IF(AI11="","",IF(AI11&lt;=10,10,IF(AI11&gt;=10000,10000,IF(VLOOKUP(AI11,Notes!$F$2:$G$74,1,TRUE)=AI11,AI11,VLOOKUP(AI11,Notes!$F$2:$G$74,2,TRUE)))))</f>
        <v>10</v>
      </c>
      <c r="AL11" s="10">
        <f t="shared" si="0"/>
        <v>6.366197723675814</v>
      </c>
      <c r="AM11" s="10">
        <f t="shared" si="1"/>
        <v>5.8085745653976399</v>
      </c>
      <c r="AN11" s="10">
        <f t="shared" si="2"/>
        <v>5.8085745653976399</v>
      </c>
      <c r="AO11" s="2">
        <f t="shared" si="3"/>
        <v>10.96</v>
      </c>
      <c r="AP11" s="2">
        <f t="shared" si="4"/>
        <v>10</v>
      </c>
      <c r="AQ11" s="2">
        <f>IF(AO11="","",IF(MAX(AH11,AO11)&lt;=10,10,IF(MAX(AH11,AO11)&gt;=10000,10000,IF(VLOOKUP(MAX(AH11,AO11),Notes!$F$2:$G$74,1,TRUE)=MAX(AH11,AO11),MAX(AH11,AO11),VLOOKUP(MAX(AH11,AO11),Notes!$F$2:$G$74,2,TRUE)))))</f>
        <v>11</v>
      </c>
      <c r="AR11" s="2">
        <f>IF(AP11="","",IF(MAX(AI11,AP11)&lt;=10,10,IF(MAX(AI11,AP11)&gt;=10000,10000,IF(VLOOKUP(MAX(AI11,AP11),Notes!$F$2:$G$74,1,TRUE)=MAX(AI11,AP11),MAX(AI11,AP11),VLOOKUP(MAX(AI11,AP11),Notes!$F$2:$G$74,2,TRUE)))))</f>
        <v>10</v>
      </c>
      <c r="AS11" s="9">
        <f>IFERROR(P11+(L11-P11)/(1+AB11*Config!$B$12),"")</f>
        <v>123.34099581152415</v>
      </c>
      <c r="AT11" s="9">
        <f>IFERROR(Q11+(M11-Q11)/(1+AC11*Config!$B$12),"")</f>
        <v>139.00738847319366</v>
      </c>
      <c r="AU11" s="9">
        <f>IFERROR(MAX(0,MIN(TAN(RADIANS(Config!$B$21))/(2*PI()*Config!$B$20*1000*AS11*0.000000000001)-V11-Config!$B$15,SQRT(10^(Config!$B$22/10)-1)/(2*PI()*Config!$B$20*1000*AS11*0.000000000001)-V11-Config!$B$15)),"")</f>
        <v>1128.9233699662918</v>
      </c>
      <c r="AV11" s="9">
        <f>IFERROR(MAX(0,MIN(TAN(RADIANS(Config!$B$21))/(2*PI()*Config!$B$20*1000*AT11*0.000000000001)-W11-Config!$B$15,SQRT(10^(Config!$B$22/10)-1)/(2*PI()*Config!$B$20*1000*AT11*0.000000000001)-W11-Config!$B$15)),"")</f>
        <v>1001.691594784516</v>
      </c>
      <c r="AW11" s="2">
        <f>IF(AU11="","",IF(AU11&lt;10,"&lt;10",IF(AU11&gt;=10000,10000,VLOOKUP(AU11,Notes!$F$2:$G$74,1,TRUE))))</f>
        <v>1100</v>
      </c>
      <c r="AX11" s="2">
        <f>IF(AV11="","",IF(AV11&lt;10,"&lt;10",IF(AV11&gt;=10000,10000,VLOOKUP(AV11,Notes!$F$2:$G$74,1,TRUE))))</f>
        <v>1000</v>
      </c>
      <c r="AY11" s="2">
        <f>IFERROR(IF((IF(Config!$B$8="R14",Config!$B$9,Config!$B$9*CC11/CB11))&lt;=10,10,IF((IF(Config!$B$8="R14",Config!$B$9,Config!$B$9*CC11/CB11))&gt;=10000,10000,IF(ABS((IF(Config!$B$8="R14",Config!$B$9,Config!$B$9*CC11/CB11))-VLOOKUP((IF(Config!$B$8="R14",Config!$B$9,Config!$B$9*CC11/CB11)),Notes!$F$2:$G$74,1,TRUE))&lt;=ABS(VLOOKUP((IF(Config!$B$8="R14",Config!$B$9,Config!$B$9*CC11/CB11)),Notes!$F$2:$G$74,2,TRUE)-(IF(Config!$B$8="R14",Config!$B$9,Config!$B$9*CC11/CB11))),VLOOKUP((IF(Config!$B$8="R14",Config!$B$9,Config!$B$9*CC11/CB11)),Notes!$F$2:$G$74,1,TRUE),VLOOKUP((IF(Config!$B$8="R14",Config!$B$9,Config!$B$9*CC11/CB11)),Notes!$F$2:$G$74,2,TRUE)))),"")</f>
        <v>100</v>
      </c>
      <c r="AZ11" s="2">
        <f>IFERROR(IF((IF(Config!$B$8="R15",Config!$B$9,Config!$B$9*CB11/CC11))&lt;=10,10,IF((IF(Config!$B$8="R15",Config!$B$9,Config!$B$9*CB11/CC11))&gt;=10000,10000,IF(ABS((IF(Config!$B$8="R15",Config!$B$9,Config!$B$9*CB11/CC11))-VLOOKUP((IF(Config!$B$8="R15",Config!$B$9,Config!$B$9*CB11/CC11)),Notes!$F$2:$G$74,1,TRUE))&lt;=ABS(VLOOKUP((IF(Config!$B$8="R15",Config!$B$9,Config!$B$9*CB11/CC11)),Notes!$F$2:$G$74,2,TRUE)-(IF(Config!$B$8="R15",Config!$B$9,Config!$B$9*CB11/CC11))),VLOOKUP((IF(Config!$B$8="R15",Config!$B$9,Config!$B$9*CB11/CC11)),Notes!$F$2:$G$74,1,TRUE),VLOOKUP((IF(Config!$B$8="R15",Config!$B$9,Config!$B$9*CB11/CC11)),Notes!$F$2:$G$74,2,TRUE)))),"")</f>
        <v>91</v>
      </c>
      <c r="BA11" s="2" t="str">
        <f>IF(OR(AW11="&lt;10",AX11="&lt;10"),"NO",IF(AND(AY11&gt;=AJ11,AY11&lt;=AW11,AZ11&gt;=AK11,AZ11&lt;=AX11,ABS(1/(AY11*L11)-1/(AZ11*M11))/MIN(1/(AY11*L11),1/(AZ11*M11))&lt;=Config!$B$19),"YES","NO"))</f>
        <v>YES</v>
      </c>
      <c r="BB11" s="18">
        <f t="shared" si="5"/>
        <v>100</v>
      </c>
      <c r="BC11" s="18">
        <f t="shared" si="6"/>
        <v>91</v>
      </c>
      <c r="BD11" s="2" t="str">
        <f t="shared" si="7"/>
        <v>CIBLE INITIALE</v>
      </c>
      <c r="BE11" s="11">
        <f t="shared" si="8"/>
        <v>6.0362173038229373E-3</v>
      </c>
      <c r="BF11" s="2" t="str">
        <f>IF(B11="","",IF(VLOOKUP(B11,MOSFET!$A$2:$Q$11,2,FALSE)&lt;&gt;"N","NON – canal",IF(H11&lt;2*Config!$B$11*Config!$B$17,"NON – Vdss",IF(J11&lt;Config!$B$13*Config!$B$18,"NON – Id",IF(L11&gt;Config!$B$23,"NON – Ciss",IF(OR(L11="",P11="",X11="",BQ11="",R11="",T11="",Z11=""),"DONNÉES À COMPLÉTER","OK"))))))</f>
        <v>OK</v>
      </c>
      <c r="BG11" s="2" t="str">
        <f>IF(C11="","",IF(VLOOKUP(C11,MOSFET!$A$2:$Q$11,2,FALSE)&lt;&gt;"P","NON – canal",IF(I11&lt;2*Config!$B$11*Config!$B$17,"NON – Vdss",IF(K11&lt;Config!$B$13*Config!$B$18,"NON – Id",IF(M11&gt;Config!$B$23,"NON – Ciss",IF(OR(M11="",Q11="",Y11="",BR11="",S11="",U11="",AA11=""),"DONNÉES À COMPLÉTER","OK"))))))</f>
        <v>OK</v>
      </c>
      <c r="BH11" s="2" t="str">
        <f t="shared" si="9"/>
        <v>OUI – paire acceptable / test scope requis</v>
      </c>
      <c r="BI11" s="11">
        <f>IFERROR((Config!$B$34*BY11+Config!$B$35*BZ11+Config!$B$36*CA11)/Config!$B$37,"")</f>
        <v>0.92783506981987562</v>
      </c>
      <c r="BJ11" s="11">
        <f t="shared" si="10"/>
        <v>0.48780487804878048</v>
      </c>
      <c r="BK11" s="11">
        <f t="shared" si="11"/>
        <v>0.6588235294117647</v>
      </c>
      <c r="BL11" s="11">
        <f t="shared" si="12"/>
        <v>0.65485439832145109</v>
      </c>
      <c r="BM11" s="11">
        <f t="shared" si="13"/>
        <v>1</v>
      </c>
      <c r="BN11" s="7">
        <f t="shared" si="14"/>
        <v>0.95454545454545447</v>
      </c>
      <c r="BO11" s="7">
        <f>IFERROR((Config!$B$25*BI11+Config!$B$26*BJ11+Config!$B$27*BK11+Config!$B$28*BL11+Config!$B$29*BM11+Config!$B$30*BN11)/Config!$B$31,"")</f>
        <v>0.76841773117024659</v>
      </c>
      <c r="BP11" s="17">
        <f t="shared" si="15"/>
        <v>3</v>
      </c>
      <c r="BQ11" s="8">
        <f>IFERROR(VLOOKUP($B11,MOSFET!$A$2:$Q$11,14,FALSE),"")</f>
        <v>41</v>
      </c>
      <c r="BR11" s="8">
        <f>IFERROR(VLOOKUP($C11,MOSFET!$A$2:$Q$11,14,FALSE),"")</f>
        <v>20</v>
      </c>
      <c r="BS11" s="8">
        <f t="shared" si="16"/>
        <v>2500</v>
      </c>
      <c r="BT11" s="8">
        <f t="shared" si="17"/>
        <v>2740</v>
      </c>
      <c r="BU11" s="8">
        <f t="shared" si="18"/>
        <v>1300</v>
      </c>
      <c r="BV11" s="8">
        <f t="shared" si="19"/>
        <v>1420</v>
      </c>
      <c r="BW11" s="8">
        <f t="shared" si="20"/>
        <v>220.00000000000011</v>
      </c>
      <c r="BX11" s="8">
        <f t="shared" si="21"/>
        <v>232.00000000000011</v>
      </c>
      <c r="BY11" s="8">
        <f t="shared" si="22"/>
        <v>0.91240875912408759</v>
      </c>
      <c r="BZ11" s="8">
        <f t="shared" si="23"/>
        <v>0.91549295774647887</v>
      </c>
      <c r="CA11" s="8">
        <f t="shared" si="24"/>
        <v>0.94827586206896552</v>
      </c>
      <c r="CB11" s="8">
        <f>IFERROR(P11+(L11-P11)*(1-Config!$B$39),"")</f>
        <v>1300</v>
      </c>
      <c r="CC11" s="8">
        <f>IFERROR(Q11+(M11-Q11)*(1-Config!$B$39),"")</f>
        <v>1420</v>
      </c>
      <c r="CD11" t="str">
        <f>IF(OR(BF11&lt;&gt;"OK",BG11&lt;&gt;"OK"),"X – INADAPTÉ",IF(AND(BI11&gt;=Config!$B$42,CE11&gt;=Config!$B$43,CF11=0),"A – TRÈS BON CANDIDAT",IF(AND(BI11&gt;=Config!$B$44,CE11&gt;=Config!$B$45,CF11=0),"B – BON CANDIDAT","C – À ÉTUDIER")))</f>
        <v>A – TRÈS BON CANDIDAT</v>
      </c>
      <c r="CE11" s="7">
        <f t="shared" si="25"/>
        <v>0.91</v>
      </c>
      <c r="CF11">
        <f>--(BJ11&lt;Config!$B$46)+--(BK11&lt;Config!$B$47)+--(BL11&lt;Config!$B$47)+--(BM11&lt;Config!$B$47)+--(BN11&lt;Config!$B$48)</f>
        <v>0</v>
      </c>
      <c r="CG11" t="str">
        <f>IF(CF11=0,"Aucune",IF(BJ11&lt;Config!$B$46,"Qgd; ","")&amp;IF(BK11&lt;Config!$B$47,"Qg; ","")&amp;IF(BL11&lt;Config!$B$47,"gm; ","")&amp;IF(BM11&lt;Config!$B$47,"Crss; ","")&amp;IF(BN11&lt;Config!$B$48,"VGS; ",""))</f>
        <v>Aucune</v>
      </c>
      <c r="CH11" t="str">
        <f t="shared" si="26"/>
        <v>NON TESTÉ</v>
      </c>
    </row>
    <row r="12" spans="1:86" ht="60">
      <c r="A12" s="2" t="s">
        <v>59</v>
      </c>
      <c r="B12" s="2" t="s">
        <v>38</v>
      </c>
      <c r="C12" s="2" t="s">
        <v>57</v>
      </c>
      <c r="D12" s="2" t="str">
        <f>IFERROR(VLOOKUP(A12,Selection!$A$17:$I$28,4,FALSE),"NON TESTÉ / NOT TESTED")</f>
        <v>NON TESTÉ / NOT TESTED</v>
      </c>
      <c r="E12" s="2">
        <f>IFERROR(VLOOKUP(A12,Selection!$A$17:$I$28,5,FALSE),"")</f>
        <v>0</v>
      </c>
      <c r="F12" s="2">
        <f>IFERROR(VLOOKUP(A12,Selection!$A$17:$I$28,6,FALSE),"")</f>
        <v>0</v>
      </c>
      <c r="G12" s="2" t="str">
        <f>IF(Config!$B$3="FR",IFERROR(T(VLOOKUP(A12,Selection!$A$17:$I$28,7,FALSE)),""),IF(IFERROR(T(VLOOKUP(A12,Selection!$A$17:$I$28,8,FALSE)),"")&lt;&gt;"",IFERROR(T(VLOOKUP(A12,Selection!$A$17:$I$28,8,FALSE)),""),IFERROR(T(VLOOKUP(A12,Selection!$A$17:$I$28,7,FALSE)),"")))</f>
        <v>Combination to validate on Q17.</v>
      </c>
      <c r="H12" s="2">
        <f>IFERROR(VLOOKUP($B12,MOSFET!$A$2:$Q$11,5,FALSE),"")</f>
        <v>300</v>
      </c>
      <c r="I12" s="2">
        <f>IFERROR(VLOOKUP($C12,MOSFET!$A$2:$Q$11,5,FALSE),"")</f>
        <v>200</v>
      </c>
      <c r="J12" s="2">
        <f>IFERROR(VLOOKUP($B12,MOSFET!$A$2:$Q$11,6,FALSE),"")</f>
        <v>36</v>
      </c>
      <c r="K12" s="2">
        <f>IFERROR(VLOOKUP($C12,MOSFET!$A$2:$Q$11,6,FALSE),"")</f>
        <v>26</v>
      </c>
      <c r="L12" s="2">
        <f>IFERROR(VLOOKUP($B12,MOSFET!$A$2:$Q$11,7,FALSE),"")</f>
        <v>2250</v>
      </c>
      <c r="M12" s="2">
        <f>IFERROR(VLOOKUP($C12,MOSFET!$A$2:$Q$11,7,FALSE),"")</f>
        <v>2740</v>
      </c>
      <c r="N12" s="2">
        <f>IFERROR(VLOOKUP($B12,MOSFET!$A$2:$Q$11,8,FALSE),"")</f>
        <v>370</v>
      </c>
      <c r="O12" s="2">
        <f>IFERROR(VLOOKUP($C12,MOSFET!$A$2:$Q$11,8,FALSE),"")</f>
        <v>540</v>
      </c>
      <c r="P12" s="2">
        <f>IFERROR(VLOOKUP($B12,MOSFET!$A$2:$Q$11,9,FALSE),"")</f>
        <v>90</v>
      </c>
      <c r="Q12" s="2">
        <f>IFERROR(VLOOKUP($C12,MOSFET!$A$2:$Q$11,9,FALSE),"")</f>
        <v>100</v>
      </c>
      <c r="R12" s="2">
        <f>IFERROR(VLOOKUP($B12,MOSFET!$A$2:$Q$11,10,FALSE),"")</f>
        <v>22</v>
      </c>
      <c r="S12" s="2">
        <f>IFERROR(VLOOKUP($C12,MOSFET!$A$2:$Q$11,10,FALSE),"")</f>
        <v>17</v>
      </c>
      <c r="T12" s="2">
        <f>IFERROR(VLOOKUP($B12,MOSFET!$A$2:$Q$11,11,FALSE),"")</f>
        <v>18</v>
      </c>
      <c r="U12" s="2">
        <f>IFERROR(VLOOKUP($C12,MOSFET!$A$2:$Q$11,11,FALSE),"")</f>
        <v>13</v>
      </c>
      <c r="V12" s="2">
        <f>IFERROR(VLOOKUP($B12,MOSFET!$A$2:$Q$11,12,FALSE),0)</f>
        <v>0</v>
      </c>
      <c r="W12" s="2">
        <f>IFERROR(VLOOKUP($C12,MOSFET!$A$2:$Q$11,12,FALSE),0)</f>
        <v>0</v>
      </c>
      <c r="X12" s="2">
        <f>IFERROR(VLOOKUP($B12,MOSFET!$A$2:$Q$11,13,FALSE),"")</f>
        <v>70</v>
      </c>
      <c r="Y12" s="2">
        <f>IFERROR(VLOOKUP($C12,MOSFET!$A$2:$Q$11,13,FALSE),"")</f>
        <v>56</v>
      </c>
      <c r="Z12" s="2">
        <f>IFERROR(VLOOKUP($B12,MOSFET!$A$2:$Q$11,16,FALSE),"")</f>
        <v>5.7</v>
      </c>
      <c r="AA12" s="2">
        <f>IFERROR(VLOOKUP($C12,MOSFET!$A$2:$Q$11,16,FALSE),"")</f>
        <v>4.4000000000000004</v>
      </c>
      <c r="AB12" s="9">
        <f>IFERROR(R12*SQRT(Config!$B$13/T12),"")</f>
        <v>9.1666666666666679</v>
      </c>
      <c r="AC12" s="9">
        <f>IFERROR(S12*SQRT(Config!$B$13/U12),"")</f>
        <v>8.3349357433728226</v>
      </c>
      <c r="AD12" s="9">
        <f>IFERROR((1/(2*PI()))*SQRT((1+AB12*Config!$B$12)/(Config!$B$14*0.000000001*L12*0.000000000001))/1000000,"")</f>
        <v>167.01675805709698</v>
      </c>
      <c r="AE12" s="9">
        <f>IFERROR((1/(2*PI()))*SQRT((1+AC12*Config!$B$12)/(Config!$B$14*0.000000001*M12*0.000000000001))/1000000,"")</f>
        <v>144.41514763887656</v>
      </c>
      <c r="AF12" s="9">
        <f>IFERROR((AB12*N12*Config!$B$12^2/L12)/(1+(2*PI()*AD12*1000000*N12*0.000000000001*Config!$B$12)^2),"")</f>
        <v>9.0598092097672343</v>
      </c>
      <c r="AG12" s="9">
        <f>IFERROR((AC12*O12*Config!$B$12^2/M12)/(1+(2*PI()*AE12*1000000*O12*0.000000000001*Config!$B$12)^2),"")</f>
        <v>6.4237774505538843</v>
      </c>
      <c r="AH12" s="9">
        <f>IF(AF12="","",MAX(0,Config!$B$16*AF12-V12-Config!$B$15))</f>
        <v>12.683732893674128</v>
      </c>
      <c r="AI12" s="9">
        <f>IF(AG12="","",MAX(0,Config!$B$16*AG12-W12-Config!$B$15))</f>
        <v>8.9932884307754382</v>
      </c>
      <c r="AJ12" s="2">
        <f>IF(AH12="","",IF(AH12&lt;=10,10,IF(AH12&gt;=10000,10000,IF(VLOOKUP(AH12,Notes!$F$2:$G$74,1,TRUE)=AH12,AH12,VLOOKUP(AH12,Notes!$F$2:$G$74,2,TRUE)))))</f>
        <v>13</v>
      </c>
      <c r="AK12" s="2">
        <f>IF(AI12="","",IF(AI12&lt;=10,10,IF(AI12&gt;=10000,10000,IF(VLOOKUP(AI12,Notes!$F$2:$G$74,1,TRUE)=AI12,AI12,VLOOKUP(AI12,Notes!$F$2:$G$74,2,TRUE)))))</f>
        <v>10</v>
      </c>
      <c r="AL12" s="10">
        <f t="shared" si="0"/>
        <v>5.441194635620354</v>
      </c>
      <c r="AM12" s="10">
        <f t="shared" si="1"/>
        <v>5.8085745653976399</v>
      </c>
      <c r="AN12" s="10">
        <f t="shared" si="2"/>
        <v>5.441194635620354</v>
      </c>
      <c r="AO12" s="2">
        <f t="shared" si="3"/>
        <v>13.000000000000002</v>
      </c>
      <c r="AP12" s="2">
        <f t="shared" si="4"/>
        <v>10.675182481751825</v>
      </c>
      <c r="AQ12" s="2">
        <f>IF(AO12="","",IF(MAX(AH12,AO12)&lt;=10,10,IF(MAX(AH12,AO12)&gt;=10000,10000,IF(VLOOKUP(MAX(AH12,AO12),Notes!$F$2:$G$74,1,TRUE)=MAX(AH12,AO12),MAX(AH12,AO12),VLOOKUP(MAX(AH12,AO12),Notes!$F$2:$G$74,2,TRUE)))))</f>
        <v>13.000000000000002</v>
      </c>
      <c r="AR12" s="2">
        <f>IF(AP12="","",IF(MAX(AI12,AP12)&lt;=10,10,IF(MAX(AI12,AP12)&gt;=10000,10000,IF(VLOOKUP(MAX(AI12,AP12),Notes!$F$2:$G$74,1,TRUE)=MAX(AI12,AP12),MAX(AI12,AP12),VLOOKUP(MAX(AI12,AP12),Notes!$F$2:$G$74,2,TRUE)))))</f>
        <v>11</v>
      </c>
      <c r="AS12" s="9">
        <f>IFERROR(P12+(L12-P12)/(1+AB12*Config!$B$12),"")</f>
        <v>119.05829596412556</v>
      </c>
      <c r="AT12" s="9">
        <f>IFERROR(Q12+(M12-Q12)/(1+AC12*Config!$B$12),"")</f>
        <v>139.00738847319366</v>
      </c>
      <c r="AU12" s="9">
        <f>IFERROR(MAX(0,MIN(TAN(RADIANS(Config!$B$21))/(2*PI()*Config!$B$20*1000*AS12*0.000000000001)-V12-Config!$B$15,SQRT(10^(Config!$B$22/10)-1)/(2*PI()*Config!$B$20*1000*AS12*0.000000000001)-V12-Config!$B$15)),"")</f>
        <v>1169.5323834342501</v>
      </c>
      <c r="AV12" s="9">
        <f>IFERROR(MAX(0,MIN(TAN(RADIANS(Config!$B$21))/(2*PI()*Config!$B$20*1000*AT12*0.000000000001)-W12-Config!$B$15,SQRT(10^(Config!$B$22/10)-1)/(2*PI()*Config!$B$20*1000*AT12*0.000000000001)-W12-Config!$B$15)),"")</f>
        <v>1001.691594784516</v>
      </c>
      <c r="AW12" s="2">
        <f>IF(AU12="","",IF(AU12&lt;10,"&lt;10",IF(AU12&gt;=10000,10000,VLOOKUP(AU12,Notes!$F$2:$G$74,1,TRUE))))</f>
        <v>1100</v>
      </c>
      <c r="AX12" s="2">
        <f>IF(AV12="","",IF(AV12&lt;10,"&lt;10",IF(AV12&gt;=10000,10000,VLOOKUP(AV12,Notes!$F$2:$G$74,1,TRUE))))</f>
        <v>1000</v>
      </c>
      <c r="AY12" s="2">
        <f>IFERROR(IF((IF(Config!$B$8="R14",Config!$B$9,Config!$B$9*CC12/CB12))&lt;=10,10,IF((IF(Config!$B$8="R14",Config!$B$9,Config!$B$9*CC12/CB12))&gt;=10000,10000,IF(ABS((IF(Config!$B$8="R14",Config!$B$9,Config!$B$9*CC12/CB12))-VLOOKUP((IF(Config!$B$8="R14",Config!$B$9,Config!$B$9*CC12/CB12)),Notes!$F$2:$G$74,1,TRUE))&lt;=ABS(VLOOKUP((IF(Config!$B$8="R14",Config!$B$9,Config!$B$9*CC12/CB12)),Notes!$F$2:$G$74,2,TRUE)-(IF(Config!$B$8="R14",Config!$B$9,Config!$B$9*CC12/CB12))),VLOOKUP((IF(Config!$B$8="R14",Config!$B$9,Config!$B$9*CC12/CB12)),Notes!$F$2:$G$74,1,TRUE),VLOOKUP((IF(Config!$B$8="R14",Config!$B$9,Config!$B$9*CC12/CB12)),Notes!$F$2:$G$74,2,TRUE)))),"")</f>
        <v>100</v>
      </c>
      <c r="AZ12" s="2">
        <f>IFERROR(IF((IF(Config!$B$8="R15",Config!$B$9,Config!$B$9*CB12/CC12))&lt;=10,10,IF((IF(Config!$B$8="R15",Config!$B$9,Config!$B$9*CB12/CC12))&gt;=10000,10000,IF(ABS((IF(Config!$B$8="R15",Config!$B$9,Config!$B$9*CB12/CC12))-VLOOKUP((IF(Config!$B$8="R15",Config!$B$9,Config!$B$9*CB12/CC12)),Notes!$F$2:$G$74,1,TRUE))&lt;=ABS(VLOOKUP((IF(Config!$B$8="R15",Config!$B$9,Config!$B$9*CB12/CC12)),Notes!$F$2:$G$74,2,TRUE)-(IF(Config!$B$8="R15",Config!$B$9,Config!$B$9*CB12/CC12))),VLOOKUP((IF(Config!$B$8="R15",Config!$B$9,Config!$B$9*CB12/CC12)),Notes!$F$2:$G$74,1,TRUE),VLOOKUP((IF(Config!$B$8="R15",Config!$B$9,Config!$B$9*CB12/CC12)),Notes!$F$2:$G$74,2,TRUE)))),"")</f>
        <v>82</v>
      </c>
      <c r="BA12" s="2" t="str">
        <f>IF(OR(AW12="&lt;10",AX12="&lt;10"),"NO",IF(AND(AY12&gt;=AJ12,AY12&lt;=AW12,AZ12&gt;=AK12,AZ12&lt;=AX12,ABS(1/(AY12*L12)-1/(AZ12*M12))/MIN(1/(AY12*L12),1/(AZ12*M12))&lt;=Config!$B$19),"YES","NO"))</f>
        <v>YES</v>
      </c>
      <c r="BB12" s="18">
        <f t="shared" si="5"/>
        <v>100</v>
      </c>
      <c r="BC12" s="18">
        <f t="shared" si="6"/>
        <v>82</v>
      </c>
      <c r="BD12" s="2" t="str">
        <f t="shared" si="7"/>
        <v>CIBLE INITIALE</v>
      </c>
      <c r="BE12" s="11">
        <f t="shared" si="8"/>
        <v>4.8093438680865686E-3</v>
      </c>
      <c r="BF12" s="2" t="str">
        <f>IF(B12="","",IF(VLOOKUP(B12,MOSFET!$A$2:$Q$11,2,FALSE)&lt;&gt;"N","NON – canal",IF(H12&lt;2*Config!$B$11*Config!$B$17,"NON – Vdss",IF(J12&lt;Config!$B$13*Config!$B$18,"NON – Id",IF(L12&gt;Config!$B$23,"NON – Ciss",IF(OR(L12="",P12="",X12="",BQ12="",R12="",T12="",Z12=""),"DONNÉES À COMPLÉTER","OK"))))))</f>
        <v>OK</v>
      </c>
      <c r="BG12" s="2" t="str">
        <f>IF(C12="","",IF(VLOOKUP(C12,MOSFET!$A$2:$Q$11,2,FALSE)&lt;&gt;"P","NON – canal",IF(I12&lt;2*Config!$B$11*Config!$B$17,"NON – Vdss",IF(K12&lt;Config!$B$13*Config!$B$18,"NON – Id",IF(M12&gt;Config!$B$23,"NON – Ciss",IF(OR(M12="",Q12="",Y12="",BR12="",S12="",U12="",AA12=""),"DONNÉES À COMPLÉTER","OK"))))))</f>
        <v>OK</v>
      </c>
      <c r="BH12" s="2" t="str">
        <f t="shared" si="9"/>
        <v>OUI – paire acceptable / test scope requis</v>
      </c>
      <c r="BI12" s="11">
        <f>IFERROR((Config!$B$34*BY12+Config!$B$35*BZ12+Config!$B$36*CA12)/Config!$B$37,"")</f>
        <v>0.83505156283788828</v>
      </c>
      <c r="BJ12" s="11">
        <f t="shared" si="10"/>
        <v>0.5714285714285714</v>
      </c>
      <c r="BK12" s="11">
        <f t="shared" si="11"/>
        <v>0.8</v>
      </c>
      <c r="BL12" s="11">
        <f t="shared" si="12"/>
        <v>0.90926571745885321</v>
      </c>
      <c r="BM12" s="11">
        <f t="shared" si="13"/>
        <v>0.9</v>
      </c>
      <c r="BN12" s="7">
        <f t="shared" si="14"/>
        <v>0.77192982456140358</v>
      </c>
      <c r="BO12" s="7">
        <f>IFERROR((Config!$B$25*BI12+Config!$B$26*BJ12+Config!$B$27*BK12+Config!$B$28*BL12+Config!$B$29*BM12+Config!$B$30*BN12)/Config!$B$31,"")</f>
        <v>0.78838402321204903</v>
      </c>
      <c r="BP12" s="17">
        <f t="shared" si="15"/>
        <v>3</v>
      </c>
      <c r="BQ12" s="8">
        <f>IFERROR(VLOOKUP($B12,MOSFET!$A$2:$Q$11,14,FALSE),"")</f>
        <v>35</v>
      </c>
      <c r="BR12" s="8">
        <f>IFERROR(VLOOKUP($C12,MOSFET!$A$2:$Q$11,14,FALSE),"")</f>
        <v>20</v>
      </c>
      <c r="BS12" s="8">
        <f t="shared" si="16"/>
        <v>2250</v>
      </c>
      <c r="BT12" s="8">
        <f t="shared" si="17"/>
        <v>2740</v>
      </c>
      <c r="BU12" s="8">
        <f t="shared" si="18"/>
        <v>1170</v>
      </c>
      <c r="BV12" s="8">
        <f t="shared" si="19"/>
        <v>1420</v>
      </c>
      <c r="BW12" s="8">
        <f t="shared" si="20"/>
        <v>198.00000000000011</v>
      </c>
      <c r="BX12" s="8">
        <f t="shared" si="21"/>
        <v>232.00000000000011</v>
      </c>
      <c r="BY12" s="8">
        <f t="shared" si="22"/>
        <v>0.82116788321167888</v>
      </c>
      <c r="BZ12" s="8">
        <f t="shared" si="23"/>
        <v>0.823943661971831</v>
      </c>
      <c r="CA12" s="8">
        <f t="shared" si="24"/>
        <v>0.85344827586206906</v>
      </c>
      <c r="CB12" s="8">
        <f>IFERROR(P12+(L12-P12)*(1-Config!$B$39),"")</f>
        <v>1170</v>
      </c>
      <c r="CC12" s="8">
        <f>IFERROR(Q12+(M12-Q12)*(1-Config!$B$39),"")</f>
        <v>1420</v>
      </c>
      <c r="CD12" t="str">
        <f>IF(OR(BF12&lt;&gt;"OK",BG12&lt;&gt;"OK"),"X – INADAPTÉ",IF(AND(BI12&gt;=Config!$B$42,CE12&gt;=Config!$B$43,CF12=0),"A – TRÈS BON CANDIDAT",IF(AND(BI12&gt;=Config!$B$44,CE12&gt;=Config!$B$45,CF12=0),"B – BON CANDIDAT","C – À ÉTUDIER")))</f>
        <v>A – TRÈS BON CANDIDAT</v>
      </c>
      <c r="CE12" s="7">
        <f t="shared" si="25"/>
        <v>0.82</v>
      </c>
      <c r="CF12">
        <f>--(BJ12&lt;Config!$B$46)+--(BK12&lt;Config!$B$47)+--(BL12&lt;Config!$B$47)+--(BM12&lt;Config!$B$47)+--(BN12&lt;Config!$B$48)</f>
        <v>0</v>
      </c>
      <c r="CG12" t="str">
        <f>IF(CF12=0,"Aucune",IF(BJ12&lt;Config!$B$46,"Qgd; ","")&amp;IF(BK12&lt;Config!$B$47,"Qg; ","")&amp;IF(BL12&lt;Config!$B$47,"gm; ","")&amp;IF(BM12&lt;Config!$B$47,"Crss; ","")&amp;IF(BN12&lt;Config!$B$48,"VGS; ",""))</f>
        <v>Aucune</v>
      </c>
      <c r="CH12" t="str">
        <f t="shared" si="26"/>
        <v>NON TESTÉ</v>
      </c>
    </row>
    <row r="13" spans="1:86" ht="60">
      <c r="A13" s="2" t="s">
        <v>61</v>
      </c>
      <c r="B13" s="2" t="s">
        <v>52</v>
      </c>
      <c r="C13" s="2" t="s">
        <v>57</v>
      </c>
      <c r="D13" s="2" t="str">
        <f>IFERROR(VLOOKUP(A13,Selection!$A$17:$I$28,4,FALSE),"NON TESTÉ / NOT TESTED")</f>
        <v>VALIDÉ / VALIDATED</v>
      </c>
      <c r="E13" s="2">
        <f>IFERROR(VLOOKUP(A13,Selection!$A$17:$I$28,5,FALSE),"")</f>
        <v>0</v>
      </c>
      <c r="F13" s="2">
        <f>IFERROR(VLOOKUP(A13,Selection!$A$17:$I$28,6,FALSE),"")</f>
        <v>0</v>
      </c>
      <c r="G13" s="2" t="str">
        <f>IF(Config!$B$3="FR",IFERROR(T(VLOOKUP(A13,Selection!$A$17:$I$28,7,FALSE)),""),IF(IFERROR(T(VLOOKUP(A13,Selection!$A$17:$I$28,8,FALSE)),"")&lt;&gt;"",IFERROR(T(VLOOKUP(A13,Selection!$A$17:$I$28,8,FALSE)),""),IFERROR(T(VLOOKUP(A13,Selection!$A$17:$I$28,7,FALSE)),"")))</f>
        <v>Combination to validate on Q17.</v>
      </c>
      <c r="H13" s="2">
        <f>IFERROR(VLOOKUP($B13,MOSFET!$A$2:$Q$11,5,FALSE),"")</f>
        <v>200</v>
      </c>
      <c r="I13" s="2">
        <f>IFERROR(VLOOKUP($C13,MOSFET!$A$2:$Q$11,5,FALSE),"")</f>
        <v>200</v>
      </c>
      <c r="J13" s="2">
        <f>IFERROR(VLOOKUP($B13,MOSFET!$A$2:$Q$11,6,FALSE),"")</f>
        <v>50</v>
      </c>
      <c r="K13" s="2">
        <f>IFERROR(VLOOKUP($C13,MOSFET!$A$2:$Q$11,6,FALSE),"")</f>
        <v>26</v>
      </c>
      <c r="L13" s="2">
        <f>IFERROR(VLOOKUP($B13,MOSFET!$A$2:$Q$11,7,FALSE),"")</f>
        <v>2720</v>
      </c>
      <c r="M13" s="2">
        <f>IFERROR(VLOOKUP($C13,MOSFET!$A$2:$Q$11,7,FALSE),"")</f>
        <v>2740</v>
      </c>
      <c r="N13" s="2">
        <f>IFERROR(VLOOKUP($B13,MOSFET!$A$2:$Q$11,8,FALSE),"")</f>
        <v>490</v>
      </c>
      <c r="O13" s="2">
        <f>IFERROR(VLOOKUP($C13,MOSFET!$A$2:$Q$11,8,FALSE),"")</f>
        <v>540</v>
      </c>
      <c r="P13" s="2">
        <f>IFERROR(VLOOKUP($B13,MOSFET!$A$2:$Q$11,9,FALSE),"")</f>
        <v>105</v>
      </c>
      <c r="Q13" s="2">
        <f>IFERROR(VLOOKUP($C13,MOSFET!$A$2:$Q$11,9,FALSE),"")</f>
        <v>100</v>
      </c>
      <c r="R13" s="2">
        <f>IFERROR(VLOOKUP($B13,MOSFET!$A$2:$Q$11,10,FALSE),"")</f>
        <v>23</v>
      </c>
      <c r="S13" s="2">
        <f>IFERROR(VLOOKUP($C13,MOSFET!$A$2:$Q$11,10,FALSE),"")</f>
        <v>17</v>
      </c>
      <c r="T13" s="2">
        <f>IFERROR(VLOOKUP($B13,MOSFET!$A$2:$Q$11,11,FALSE),"")</f>
        <v>25</v>
      </c>
      <c r="U13" s="2">
        <f>IFERROR(VLOOKUP($C13,MOSFET!$A$2:$Q$11,11,FALSE),"")</f>
        <v>13</v>
      </c>
      <c r="V13" s="2">
        <f>IFERROR(VLOOKUP($B13,MOSFET!$A$2:$Q$11,12,FALSE),0)</f>
        <v>0</v>
      </c>
      <c r="W13" s="2">
        <f>IFERROR(VLOOKUP($C13,MOSFET!$A$2:$Q$11,12,FALSE),0)</f>
        <v>0</v>
      </c>
      <c r="X13" s="2">
        <f>IFERROR(VLOOKUP($B13,MOSFET!$A$2:$Q$11,13,FALSE),"")</f>
        <v>70</v>
      </c>
      <c r="Y13" s="2">
        <f>IFERROR(VLOOKUP($C13,MOSFET!$A$2:$Q$11,13,FALSE),"")</f>
        <v>56</v>
      </c>
      <c r="Z13" s="2">
        <f>IFERROR(VLOOKUP($B13,MOSFET!$A$2:$Q$11,16,FALSE),"")</f>
        <v>5.8</v>
      </c>
      <c r="AA13" s="2">
        <f>IFERROR(VLOOKUP($C13,MOSFET!$A$2:$Q$11,16,FALSE),"")</f>
        <v>4.4000000000000004</v>
      </c>
      <c r="AB13" s="9">
        <f>IFERROR(R13*SQRT(Config!$B$13/T13),"")</f>
        <v>8.1317279836452965</v>
      </c>
      <c r="AC13" s="9">
        <f>IFERROR(S13*SQRT(Config!$B$13/U13),"")</f>
        <v>8.3349357433728226</v>
      </c>
      <c r="AD13" s="9">
        <f>IFERROR((1/(2*PI()))*SQRT((1+AB13*Config!$B$12)/(Config!$B$14*0.000000001*L13*0.000000000001))/1000000,"")</f>
        <v>143.19374064769821</v>
      </c>
      <c r="AE13" s="9">
        <f>IFERROR((1/(2*PI()))*SQRT((1+AC13*Config!$B$12)/(Config!$B$14*0.000000001*M13*0.000000000001))/1000000,"")</f>
        <v>144.41514763887656</v>
      </c>
      <c r="AF13" s="9">
        <f>IFERROR((AB13*N13*Config!$B$12^2/L13)/(1+(2*PI()*AD13*1000000*N13*0.000000000001*Config!$B$12)^2),"")</f>
        <v>6.9763483106772011</v>
      </c>
      <c r="AG13" s="9">
        <f>IFERROR((AC13*O13*Config!$B$12^2/M13)/(1+(2*PI()*AE13*1000000*O13*0.000000000001*Config!$B$12)^2),"")</f>
        <v>6.4237774505538843</v>
      </c>
      <c r="AH13" s="9">
        <f>IF(AF13="","",MAX(0,Config!$B$16*AF13-V13-Config!$B$15))</f>
        <v>9.7668876349480804</v>
      </c>
      <c r="AI13" s="9">
        <f>IF(AG13="","",MAX(0,Config!$B$16*AG13-W13-Config!$B$15))</f>
        <v>8.9932884307754382</v>
      </c>
      <c r="AJ13" s="2">
        <f>IF(AH13="","",IF(AH13&lt;=10,10,IF(AH13&gt;=10000,10000,IF(VLOOKUP(AH13,Notes!$F$2:$G$74,1,TRUE)=AH13,AH13,VLOOKUP(AH13,Notes!$F$2:$G$74,2,TRUE)))))</f>
        <v>10</v>
      </c>
      <c r="AK13" s="2">
        <f>IF(AI13="","",IF(AI13&lt;=10,10,IF(AI13&gt;=10000,10000,IF(VLOOKUP(AI13,Notes!$F$2:$G$74,1,TRUE)=AI13,AI13,VLOOKUP(AI13,Notes!$F$2:$G$74,2,TRUE)))))</f>
        <v>10</v>
      </c>
      <c r="AL13" s="10">
        <f t="shared" si="0"/>
        <v>5.8512846724961527</v>
      </c>
      <c r="AM13" s="10">
        <f t="shared" si="1"/>
        <v>5.8085745653976399</v>
      </c>
      <c r="AN13" s="10">
        <f t="shared" si="2"/>
        <v>5.8085745653976399</v>
      </c>
      <c r="AO13" s="2">
        <f t="shared" si="3"/>
        <v>10.073529411764707</v>
      </c>
      <c r="AP13" s="2">
        <f t="shared" si="4"/>
        <v>10</v>
      </c>
      <c r="AQ13" s="2">
        <f>IF(AO13="","",IF(MAX(AH13,AO13)&lt;=10,10,IF(MAX(AH13,AO13)&gt;=10000,10000,IF(VLOOKUP(MAX(AH13,AO13),Notes!$F$2:$G$74,1,TRUE)=MAX(AH13,AO13),MAX(AH13,AO13),VLOOKUP(MAX(AH13,AO13),Notes!$F$2:$G$74,2,TRUE)))))</f>
        <v>11</v>
      </c>
      <c r="AR13" s="2">
        <f>IF(AP13="","",IF(MAX(AI13,AP13)&lt;=10,10,IF(MAX(AI13,AP13)&gt;=10000,10000,IF(VLOOKUP(MAX(AI13,AP13),Notes!$F$2:$G$74,1,TRUE)=MAX(AI13,AP13),MAX(AI13,AP13),VLOOKUP(MAX(AI13,AP13),Notes!$F$2:$G$74,2,TRUE)))))</f>
        <v>10</v>
      </c>
      <c r="AS13" s="9">
        <f>IFERROR(P13+(L13-P13)/(1+AB13*Config!$B$12),"")</f>
        <v>144.58892683003063</v>
      </c>
      <c r="AT13" s="9">
        <f>IFERROR(Q13+(M13-Q13)/(1+AC13*Config!$B$12),"")</f>
        <v>139.00738847319366</v>
      </c>
      <c r="AU13" s="9">
        <f>IFERROR(MAX(0,MIN(TAN(RADIANS(Config!$B$21))/(2*PI()*Config!$B$20*1000*AS13*0.000000000001)-V13-Config!$B$15,SQRT(10^(Config!$B$22/10)-1)/(2*PI()*Config!$B$20*1000*AS13*0.000000000001)-V13-Config!$B$15)),"")</f>
        <v>963.02348803120037</v>
      </c>
      <c r="AV13" s="9">
        <f>IFERROR(MAX(0,MIN(TAN(RADIANS(Config!$B$21))/(2*PI()*Config!$B$20*1000*AT13*0.000000000001)-W13-Config!$B$15,SQRT(10^(Config!$B$22/10)-1)/(2*PI()*Config!$B$20*1000*AT13*0.000000000001)-W13-Config!$B$15)),"")</f>
        <v>1001.691594784516</v>
      </c>
      <c r="AW13" s="2">
        <f>IF(AU13="","",IF(AU13&lt;10,"&lt;10",IF(AU13&gt;=10000,10000,VLOOKUP(AU13,Notes!$F$2:$G$74,1,TRUE))))</f>
        <v>910</v>
      </c>
      <c r="AX13" s="2">
        <f>IF(AV13="","",IF(AV13&lt;10,"&lt;10",IF(AV13&gt;=10000,10000,VLOOKUP(AV13,Notes!$F$2:$G$74,1,TRUE))))</f>
        <v>1000</v>
      </c>
      <c r="AY13" s="2">
        <f>IFERROR(IF((IF(Config!$B$8="R14",Config!$B$9,Config!$B$9*CC13/CB13))&lt;=10,10,IF((IF(Config!$B$8="R14",Config!$B$9,Config!$B$9*CC13/CB13))&gt;=10000,10000,IF(ABS((IF(Config!$B$8="R14",Config!$B$9,Config!$B$9*CC13/CB13))-VLOOKUP((IF(Config!$B$8="R14",Config!$B$9,Config!$B$9*CC13/CB13)),Notes!$F$2:$G$74,1,TRUE))&lt;=ABS(VLOOKUP((IF(Config!$B$8="R14",Config!$B$9,Config!$B$9*CC13/CB13)),Notes!$F$2:$G$74,2,TRUE)-(IF(Config!$B$8="R14",Config!$B$9,Config!$B$9*CC13/CB13))),VLOOKUP((IF(Config!$B$8="R14",Config!$B$9,Config!$B$9*CC13/CB13)),Notes!$F$2:$G$74,1,TRUE),VLOOKUP((IF(Config!$B$8="R14",Config!$B$9,Config!$B$9*CC13/CB13)),Notes!$F$2:$G$74,2,TRUE)))),"")</f>
        <v>100</v>
      </c>
      <c r="AZ13" s="2">
        <f>IFERROR(IF((IF(Config!$B$8="R15",Config!$B$9,Config!$B$9*CB13/CC13))&lt;=10,10,IF((IF(Config!$B$8="R15",Config!$B$9,Config!$B$9*CB13/CC13))&gt;=10000,10000,IF(ABS((IF(Config!$B$8="R15",Config!$B$9,Config!$B$9*CB13/CC13))-VLOOKUP((IF(Config!$B$8="R15",Config!$B$9,Config!$B$9*CB13/CC13)),Notes!$F$2:$G$74,1,TRUE))&lt;=ABS(VLOOKUP((IF(Config!$B$8="R15",Config!$B$9,Config!$B$9*CB13/CC13)),Notes!$F$2:$G$74,2,TRUE)-(IF(Config!$B$8="R15",Config!$B$9,Config!$B$9*CB13/CC13))),VLOOKUP((IF(Config!$B$8="R15",Config!$B$9,Config!$B$9*CB13/CC13)),Notes!$F$2:$G$74,1,TRUE),VLOOKUP((IF(Config!$B$8="R15",Config!$B$9,Config!$B$9*CB13/CC13)),Notes!$F$2:$G$74,2,TRUE)))),"")</f>
        <v>100</v>
      </c>
      <c r="BA13" s="2" t="str">
        <f>IF(OR(AW13="&lt;10",AX13="&lt;10"),"NO",IF(AND(AY13&gt;=AJ13,AY13&lt;=AW13,AZ13&gt;=AK13,AZ13&lt;=AX13,ABS(1/(AY13*L13)-1/(AZ13*M13))/MIN(1/(AY13*L13),1/(AZ13*M13))&lt;=Config!$B$19),"YES","NO"))</f>
        <v>YES</v>
      </c>
      <c r="BB13" s="18">
        <f t="shared" si="5"/>
        <v>100</v>
      </c>
      <c r="BC13" s="18">
        <f t="shared" si="6"/>
        <v>100</v>
      </c>
      <c r="BD13" s="2" t="str">
        <f t="shared" si="7"/>
        <v>CIBLE INITIALE</v>
      </c>
      <c r="BE13" s="11">
        <f t="shared" si="8"/>
        <v>5.3097345132743362E-3</v>
      </c>
      <c r="BF13" s="2" t="str">
        <f>IF(B13="","",IF(VLOOKUP(B13,MOSFET!$A$2:$Q$11,2,FALSE)&lt;&gt;"N","NON – canal",IF(H13&lt;2*Config!$B$11*Config!$B$17,"NON – Vdss",IF(J13&lt;Config!$B$13*Config!$B$18,"NON – Id",IF(L13&gt;Config!$B$23,"NON – Ciss",IF(OR(L13="",P13="",X13="",BQ13="",R13="",T13="",Z13=""),"DONNÉES À COMPLÉTER","OK"))))))</f>
        <v>OK</v>
      </c>
      <c r="BG13" s="2" t="str">
        <f>IF(C13="","",IF(VLOOKUP(C13,MOSFET!$A$2:$Q$11,2,FALSE)&lt;&gt;"P","NON – canal",IF(I13&lt;2*Config!$B$11*Config!$B$17,"NON – Vdss",IF(K13&lt;Config!$B$13*Config!$B$18,"NON – Id",IF(M13&gt;Config!$B$23,"NON – Ciss",IF(OR(M13="",Q13="",Y13="",BR13="",S13="",U13="",AA13=""),"DONNÉES À COMPLÉTER","OK"))))))</f>
        <v>OK</v>
      </c>
      <c r="BH13" s="2" t="str">
        <f t="shared" si="9"/>
        <v>OUI – paire prioritaire / test scope requis</v>
      </c>
      <c r="BI13" s="11">
        <f>IFERROR((Config!$B$34*BY13+Config!$B$35*BZ13+Config!$B$36*CA13)/Config!$B$37,"")</f>
        <v>0.9899639186100806</v>
      </c>
      <c r="BJ13" s="11">
        <f t="shared" si="10"/>
        <v>0.54054054054054057</v>
      </c>
      <c r="BK13" s="11">
        <f t="shared" si="11"/>
        <v>0.8</v>
      </c>
      <c r="BL13" s="11">
        <f t="shared" si="12"/>
        <v>0.97561975689025582</v>
      </c>
      <c r="BM13" s="11">
        <f t="shared" si="13"/>
        <v>0.95238095238095233</v>
      </c>
      <c r="BN13" s="7">
        <f t="shared" si="14"/>
        <v>0.75862068965517249</v>
      </c>
      <c r="BO13" s="7">
        <f>IFERROR((Config!$B$25*BI13+Config!$B$26*BJ13+Config!$B$27*BK13+Config!$B$28*BL13+Config!$B$29*BM13+Config!$B$30*BN13)/Config!$B$31,"")</f>
        <v>0.84254041142828318</v>
      </c>
      <c r="BP13" s="17">
        <f t="shared" si="15"/>
        <v>4</v>
      </c>
      <c r="BQ13" s="8">
        <f>IFERROR(VLOOKUP($B13,MOSFET!$A$2:$Q$11,14,FALSE),"")</f>
        <v>37</v>
      </c>
      <c r="BR13" s="8">
        <f>IFERROR(VLOOKUP($C13,MOSFET!$A$2:$Q$11,14,FALSE),"")</f>
        <v>20</v>
      </c>
      <c r="BS13" s="8">
        <f t="shared" si="16"/>
        <v>2720</v>
      </c>
      <c r="BT13" s="8">
        <f t="shared" si="17"/>
        <v>2740</v>
      </c>
      <c r="BU13" s="8">
        <f t="shared" si="18"/>
        <v>1412.5</v>
      </c>
      <c r="BV13" s="8">
        <f t="shared" si="19"/>
        <v>1420</v>
      </c>
      <c r="BW13" s="8">
        <f t="shared" si="20"/>
        <v>235.75000000000011</v>
      </c>
      <c r="BX13" s="8">
        <f t="shared" si="21"/>
        <v>232.00000000000011</v>
      </c>
      <c r="BY13" s="8">
        <f t="shared" si="22"/>
        <v>0.99270072992700731</v>
      </c>
      <c r="BZ13" s="8">
        <f t="shared" si="23"/>
        <v>0.99471830985915488</v>
      </c>
      <c r="CA13" s="8">
        <f t="shared" si="24"/>
        <v>0.98409331919406151</v>
      </c>
      <c r="CB13" s="8">
        <f>IFERROR(P13+(L13-P13)*(1-Config!$B$39),"")</f>
        <v>1412.5</v>
      </c>
      <c r="CC13" s="8">
        <f>IFERROR(Q13+(M13-Q13)*(1-Config!$B$39),"")</f>
        <v>1420</v>
      </c>
      <c r="CD13" t="str">
        <f>IF(OR(BF13&lt;&gt;"OK",BG13&lt;&gt;"OK"),"X – INADAPTÉ",IF(AND(BI13&gt;=Config!$B$42,CE13&gt;=Config!$B$43,CF13=0),"A – TRÈS BON CANDIDAT",IF(AND(BI13&gt;=Config!$B$44,CE13&gt;=Config!$B$45,CF13=0),"B – BON CANDIDAT","C – À ÉTUDIER")))</f>
        <v>A – TRÈS BON CANDIDAT</v>
      </c>
      <c r="CE13" s="7">
        <f t="shared" si="25"/>
        <v>1</v>
      </c>
      <c r="CF13">
        <f>--(BJ13&lt;Config!$B$46)+--(BK13&lt;Config!$B$47)+--(BL13&lt;Config!$B$47)+--(BM13&lt;Config!$B$47)+--(BN13&lt;Config!$B$48)</f>
        <v>0</v>
      </c>
      <c r="CG13" t="str">
        <f>IF(CF13=0,"Aucune",IF(BJ13&lt;Config!$B$46,"Qgd; ","")&amp;IF(BK13&lt;Config!$B$47,"Qg; ","")&amp;IF(BL13&lt;Config!$B$47,"gm; ","")&amp;IF(BM13&lt;Config!$B$47,"Crss; ","")&amp;IF(BN13&lt;Config!$B$48,"VGS; ",""))</f>
        <v>Aucune</v>
      </c>
      <c r="CH13" t="str">
        <f t="shared" si="26"/>
        <v>VALIDATION INCOMPLÈTE</v>
      </c>
    </row>
    <row r="14" spans="1:86" ht="60">
      <c r="A14" s="2" t="s">
        <v>63</v>
      </c>
      <c r="B14" s="2" t="s">
        <v>64</v>
      </c>
      <c r="C14" s="2" t="s">
        <v>32</v>
      </c>
      <c r="D14" s="2" t="str">
        <f>IFERROR(VLOOKUP(A14,Selection!$A$17:$I$28,4,FALSE),"NON TESTÉ / NOT TESTED")</f>
        <v>NON TESTÉ / NOT TESTED</v>
      </c>
      <c r="E14" s="2">
        <f>IFERROR(VLOOKUP(A14,Selection!$A$17:$I$28,5,FALSE),"")</f>
        <v>0</v>
      </c>
      <c r="F14" s="2">
        <f>IFERROR(VLOOKUP(A14,Selection!$A$17:$I$28,6,FALSE),"")</f>
        <v>0</v>
      </c>
      <c r="G14" s="2" t="str">
        <f>IF(Config!$B$3="FR",IFERROR(T(VLOOKUP(A14,Selection!$A$17:$I$28,7,FALSE)),""),IF(IFERROR(T(VLOOKUP(A14,Selection!$A$17:$I$28,8,FALSE)),"")&lt;&gt;"",IFERROR(T(VLOOKUP(A14,Selection!$A$17:$I$28,8,FALSE)),""),IFERROR(T(VLOOKUP(A14,Selection!$A$17:$I$28,7,FALSE)),"")))</f>
        <v>Combination to validate on Q17.</v>
      </c>
      <c r="H14" s="2">
        <f>IFERROR(VLOOKUP($B14,MOSFET!$A$2:$Q$11,5,FALSE),"")</f>
        <v>200</v>
      </c>
      <c r="I14" s="2">
        <f>IFERROR(VLOOKUP($C14,MOSFET!$A$2:$Q$11,5,FALSE),"")</f>
        <v>150</v>
      </c>
      <c r="J14" s="2">
        <f>IFERROR(VLOOKUP($B14,MOSFET!$A$2:$Q$11,6,FALSE),"")</f>
        <v>74</v>
      </c>
      <c r="K14" s="2">
        <f>IFERROR(VLOOKUP($C14,MOSFET!$A$2:$Q$11,6,FALSE),"")</f>
        <v>36</v>
      </c>
      <c r="L14" s="2">
        <f>IFERROR(VLOOKUP($B14,MOSFET!$A$2:$Q$11,7,FALSE),"")</f>
        <v>3300</v>
      </c>
      <c r="M14" s="2">
        <f>IFERROR(VLOOKUP($C14,MOSFET!$A$2:$Q$11,7,FALSE),"")</f>
        <v>2550</v>
      </c>
      <c r="N14" s="2">
        <f>IFERROR(VLOOKUP($B14,MOSFET!$A$2:$Q$11,8,FALSE),"")</f>
        <v>800</v>
      </c>
      <c r="O14" s="2">
        <f>IFERROR(VLOOKUP($C14,MOSFET!$A$2:$Q$11,8,FALSE),"")</f>
        <v>710</v>
      </c>
      <c r="P14" s="2">
        <f>IFERROR(VLOOKUP($B14,MOSFET!$A$2:$Q$11,9,FALSE),"")</f>
        <v>190</v>
      </c>
      <c r="Q14" s="2">
        <f>IFERROR(VLOOKUP($C14,MOSFET!$A$2:$Q$11,9,FALSE),"")</f>
        <v>110</v>
      </c>
      <c r="R14" s="2">
        <f>IFERROR(VLOOKUP($B14,MOSFET!$A$2:$Q$11,10,FALSE),"")</f>
        <v>44</v>
      </c>
      <c r="S14" s="2">
        <f>IFERROR(VLOOKUP($C14,MOSFET!$A$2:$Q$11,10,FALSE),"")</f>
        <v>19.5</v>
      </c>
      <c r="T14" s="2">
        <f>IFERROR(VLOOKUP($B14,MOSFET!$A$2:$Q$11,11,FALSE),"")</f>
        <v>37</v>
      </c>
      <c r="U14" s="2">
        <f>IFERROR(VLOOKUP($C14,MOSFET!$A$2:$Q$11,11,FALSE),"")</f>
        <v>18</v>
      </c>
      <c r="V14" s="2">
        <f>IFERROR(VLOOKUP($B14,MOSFET!$A$2:$Q$11,12,FALSE),0)</f>
        <v>0</v>
      </c>
      <c r="W14" s="2">
        <f>IFERROR(VLOOKUP($C14,MOSFET!$A$2:$Q$11,12,FALSE),0)</f>
        <v>0</v>
      </c>
      <c r="X14" s="2">
        <f>IFERROR(VLOOKUP($B14,MOSFET!$A$2:$Q$11,13,FALSE),"")</f>
        <v>107</v>
      </c>
      <c r="Y14" s="2">
        <f>IFERROR(VLOOKUP($C14,MOSFET!$A$2:$Q$11,13,FALSE),"")</f>
        <v>81</v>
      </c>
      <c r="Z14" s="2">
        <f>IFERROR(VLOOKUP($B14,MOSFET!$A$2:$Q$11,16,FALSE),"")</f>
        <v>4.5999999999999996</v>
      </c>
      <c r="AA14" s="2">
        <f>IFERROR(VLOOKUP($C14,MOSFET!$A$2:$Q$11,16,FALSE),"")</f>
        <v>4.3</v>
      </c>
      <c r="AB14" s="9">
        <f>IFERROR(R14*SQRT(Config!$B$13/T14),"")</f>
        <v>12.78724026182012</v>
      </c>
      <c r="AC14" s="9">
        <f>IFERROR(S14*SQRT(Config!$B$13/U14),"")</f>
        <v>8.125</v>
      </c>
      <c r="AD14" s="9">
        <f>IFERROR((1/(2*PI()))*SQRT((1+AB14*Config!$B$12)/(Config!$B$14*0.000000001*L14*0.000000000001))/1000000,"")</f>
        <v>162.57296523807483</v>
      </c>
      <c r="AE14" s="9">
        <f>IFERROR((1/(2*PI()))*SQRT((1+AC14*Config!$B$12)/(Config!$B$14*0.000000001*M14*0.000000000001))/1000000,"")</f>
        <v>147.82959321035662</v>
      </c>
      <c r="AF14" s="9">
        <f>IFERROR((AB14*N14*Config!$B$12^2/L14)/(1+(2*PI()*AD14*1000000*N14*0.000000000001*Config!$B$12)^2),"")</f>
        <v>4.535987311485961</v>
      </c>
      <c r="AG14" s="9">
        <f>IFERROR((AC14*O14*Config!$B$12^2/M14)/(1+(2*PI()*AE14*1000000*O14*0.000000000001*Config!$B$12)^2),"")</f>
        <v>5.0212655765315954</v>
      </c>
      <c r="AH14" s="9">
        <f>IF(AF14="","",MAX(0,Config!$B$16*AF14-V14-Config!$B$15))</f>
        <v>6.3503822360803452</v>
      </c>
      <c r="AI14" s="9">
        <f>IF(AG14="","",MAX(0,Config!$B$16*AG14-W14-Config!$B$15))</f>
        <v>7.0297718071442334</v>
      </c>
      <c r="AJ14" s="2">
        <f>IF(AH14="","",IF(AH14&lt;=10,10,IF(AH14&gt;=10000,10000,IF(VLOOKUP(AH14,Notes!$F$2:$G$74,1,TRUE)=AH14,AH14,VLOOKUP(AH14,Notes!$F$2:$G$74,2,TRUE)))))</f>
        <v>10</v>
      </c>
      <c r="AK14" s="2">
        <f>IF(AI14="","",IF(AI14&lt;=10,10,IF(AI14&gt;=10000,10000,IF(VLOOKUP(AI14,Notes!$F$2:$G$74,1,TRUE)=AI14,AI14,VLOOKUP(AI14,Notes!$F$2:$G$74,2,TRUE)))))</f>
        <v>10</v>
      </c>
      <c r="AL14" s="10">
        <f t="shared" si="0"/>
        <v>4.8228770633907683</v>
      </c>
      <c r="AM14" s="10">
        <f t="shared" si="1"/>
        <v>6.2413703173292285</v>
      </c>
      <c r="AN14" s="10">
        <f t="shared" si="2"/>
        <v>4.8228770633907683</v>
      </c>
      <c r="AO14" s="2">
        <f t="shared" si="3"/>
        <v>10</v>
      </c>
      <c r="AP14" s="2">
        <f t="shared" si="4"/>
        <v>12.941176470588234</v>
      </c>
      <c r="AQ14" s="2">
        <f>IF(AO14="","",IF(MAX(AH14,AO14)&lt;=10,10,IF(MAX(AH14,AO14)&gt;=10000,10000,IF(VLOOKUP(MAX(AH14,AO14),Notes!$F$2:$G$74,1,TRUE)=MAX(AH14,AO14),MAX(AH14,AO14),VLOOKUP(MAX(AH14,AO14),Notes!$F$2:$G$74,2,TRUE)))))</f>
        <v>10</v>
      </c>
      <c r="AR14" s="2">
        <f>IF(AP14="","",IF(MAX(AI14,AP14)&lt;=10,10,IF(MAX(AI14,AP14)&gt;=10000,10000,IF(VLOOKUP(MAX(AI14,AP14),Notes!$F$2:$G$74,1,TRUE)=MAX(AI14,AP14),MAX(AI14,AP14),VLOOKUP(MAX(AI14,AP14),Notes!$F$2:$G$74,2,TRUE)))))</f>
        <v>13</v>
      </c>
      <c r="AS14" s="9">
        <f>IFERROR(P14+(L14-P14)/(1+AB14*Config!$B$12),"")</f>
        <v>220.10709157492099</v>
      </c>
      <c r="AT14" s="9">
        <f>IFERROR(Q14+(M14-Q14)/(1+AC14*Config!$B$12),"")</f>
        <v>146.96969696969697</v>
      </c>
      <c r="AU14" s="9">
        <f>IFERROR(MAX(0,MIN(TAN(RADIANS(Config!$B$21))/(2*PI()*Config!$B$20*1000*AS14*0.000000000001)-V14-Config!$B$15,SQRT(10^(Config!$B$22/10)-1)/(2*PI()*Config!$B$20*1000*AS14*0.000000000001)-V14-Config!$B$15)),"")</f>
        <v>632.61265982040447</v>
      </c>
      <c r="AV14" s="9">
        <f>IFERROR(MAX(0,MIN(TAN(RADIANS(Config!$B$21))/(2*PI()*Config!$B$20*1000*AT14*0.000000000001)-W14-Config!$B$15,SQRT(10^(Config!$B$22/10)-1)/(2*PI()*Config!$B$20*1000*AT14*0.000000000001)-W14-Config!$B$15)),"")</f>
        <v>947.4234180074136</v>
      </c>
      <c r="AW14" s="2">
        <f>IF(AU14="","",IF(AU14&lt;10,"&lt;10",IF(AU14&gt;=10000,10000,VLOOKUP(AU14,Notes!$F$2:$G$74,1,TRUE))))</f>
        <v>620</v>
      </c>
      <c r="AX14" s="2">
        <f>IF(AV14="","",IF(AV14&lt;10,"&lt;10",IF(AV14&gt;=10000,10000,VLOOKUP(AV14,Notes!$F$2:$G$74,1,TRUE))))</f>
        <v>910</v>
      </c>
      <c r="AY14" s="2">
        <f>IFERROR(IF((IF(Config!$B$8="R14",Config!$B$9,Config!$B$9*CC14/CB14))&lt;=10,10,IF((IF(Config!$B$8="R14",Config!$B$9,Config!$B$9*CC14/CB14))&gt;=10000,10000,IF(ABS((IF(Config!$B$8="R14",Config!$B$9,Config!$B$9*CC14/CB14))-VLOOKUP((IF(Config!$B$8="R14",Config!$B$9,Config!$B$9*CC14/CB14)),Notes!$F$2:$G$74,1,TRUE))&lt;=ABS(VLOOKUP((IF(Config!$B$8="R14",Config!$B$9,Config!$B$9*CC14/CB14)),Notes!$F$2:$G$74,2,TRUE)-(IF(Config!$B$8="R14",Config!$B$9,Config!$B$9*CC14/CB14))),VLOOKUP((IF(Config!$B$8="R14",Config!$B$9,Config!$B$9*CC14/CB14)),Notes!$F$2:$G$74,1,TRUE),VLOOKUP((IF(Config!$B$8="R14",Config!$B$9,Config!$B$9*CC14/CB14)),Notes!$F$2:$G$74,2,TRUE)))),"")</f>
        <v>100</v>
      </c>
      <c r="AZ14" s="2">
        <f>IFERROR(IF((IF(Config!$B$8="R15",Config!$B$9,Config!$B$9*CB14/CC14))&lt;=10,10,IF((IF(Config!$B$8="R15",Config!$B$9,Config!$B$9*CB14/CC14))&gt;=10000,10000,IF(ABS((IF(Config!$B$8="R15",Config!$B$9,Config!$B$9*CB14/CC14))-VLOOKUP((IF(Config!$B$8="R15",Config!$B$9,Config!$B$9*CB14/CC14)),Notes!$F$2:$G$74,1,TRUE))&lt;=ABS(VLOOKUP((IF(Config!$B$8="R15",Config!$B$9,Config!$B$9*CB14/CC14)),Notes!$F$2:$G$74,2,TRUE)-(IF(Config!$B$8="R15",Config!$B$9,Config!$B$9*CB14/CC14))),VLOOKUP((IF(Config!$B$8="R15",Config!$B$9,Config!$B$9*CB14/CC14)),Notes!$F$2:$G$74,1,TRUE),VLOOKUP((IF(Config!$B$8="R15",Config!$B$9,Config!$B$9*CB14/CC14)),Notes!$F$2:$G$74,2,TRUE)))),"")</f>
        <v>130</v>
      </c>
      <c r="BA14" s="2" t="str">
        <f>IF(OR(AW14="&lt;10",AX14="&lt;10"),"NO",IF(AND(AY14&gt;=AJ14,AY14&lt;=AW14,AZ14&gt;=AK14,AZ14&lt;=AX14,ABS(1/(AY14*L14)-1/(AZ14*M14))/MIN(1/(AY14*L14),1/(AZ14*M14))&lt;=Config!$B$19),"YES","NO"))</f>
        <v>YES</v>
      </c>
      <c r="BB14" s="18">
        <f t="shared" si="5"/>
        <v>100</v>
      </c>
      <c r="BC14" s="18">
        <f t="shared" si="6"/>
        <v>130</v>
      </c>
      <c r="BD14" s="2" t="str">
        <f t="shared" si="7"/>
        <v>CIBLE INITIALE</v>
      </c>
      <c r="BE14" s="11">
        <f t="shared" si="8"/>
        <v>9.2539039907460954E-3</v>
      </c>
      <c r="BF14" s="2" t="str">
        <f>IF(B14="","",IF(VLOOKUP(B14,MOSFET!$A$2:$Q$11,2,FALSE)&lt;&gt;"N","NON – canal",IF(H14&lt;2*Config!$B$11*Config!$B$17,"NON – Vdss",IF(J14&lt;Config!$B$13*Config!$B$18,"NON – Id",IF(L14&gt;Config!$B$23,"NON – Ciss",IF(OR(L14="",P14="",X14="",BQ14="",R14="",T14="",Z14=""),"DONNÉES À COMPLÉTER","OK"))))))</f>
        <v>OK</v>
      </c>
      <c r="BG14" s="2" t="str">
        <f>IF(C14="","",IF(VLOOKUP(C14,MOSFET!$A$2:$Q$11,2,FALSE)&lt;&gt;"P","NON – canal",IF(I14&lt;2*Config!$B$11*Config!$B$17,"NON – Vdss",IF(K14&lt;Config!$B$13*Config!$B$18,"NON – Id",IF(M14&gt;Config!$B$23,"NON – Ciss",IF(OR(M14="",Q14="",Y14="",BR14="",S14="",U14="",AA14=""),"DONNÉES À COMPLÉTER","OK"))))))</f>
        <v>OK</v>
      </c>
      <c r="BH14" s="2" t="str">
        <f t="shared" si="9"/>
        <v>OUI – paire acceptable / test scope requis</v>
      </c>
      <c r="BI14" s="11">
        <f>IFERROR((Config!$B$34*BY14+Config!$B$35*BZ14+Config!$B$36*CA14)/Config!$B$37,"")</f>
        <v>0.72854023316944061</v>
      </c>
      <c r="BJ14" s="11">
        <f t="shared" si="10"/>
        <v>0.80769230769230771</v>
      </c>
      <c r="BK14" s="11">
        <f t="shared" si="11"/>
        <v>0.7570093457943925</v>
      </c>
      <c r="BL14" s="11">
        <f t="shared" si="12"/>
        <v>0.63539902540655768</v>
      </c>
      <c r="BM14" s="11">
        <f t="shared" si="13"/>
        <v>0.57894736842105265</v>
      </c>
      <c r="BN14" s="7">
        <f t="shared" si="14"/>
        <v>0.93478260869565222</v>
      </c>
      <c r="BO14" s="7">
        <f>IFERROR((Config!$B$25*BI14+Config!$B$26*BJ14+Config!$B$27*BK14+Config!$B$28*BL14+Config!$B$29*BM14+Config!$B$30*BN14)/Config!$B$31,"")</f>
        <v>0.74033478488110671</v>
      </c>
      <c r="BP14" s="17">
        <f t="shared" si="15"/>
        <v>3</v>
      </c>
      <c r="BQ14" s="8">
        <f>IFERROR(VLOOKUP($B14,MOSFET!$A$2:$Q$11,14,FALSE),"")</f>
        <v>52</v>
      </c>
      <c r="BR14" s="8">
        <f>IFERROR(VLOOKUP($C14,MOSFET!$A$2:$Q$11,14,FALSE),"")</f>
        <v>42</v>
      </c>
      <c r="BS14" s="8">
        <f t="shared" si="16"/>
        <v>3300</v>
      </c>
      <c r="BT14" s="8">
        <f t="shared" si="17"/>
        <v>2550</v>
      </c>
      <c r="BU14" s="8">
        <f t="shared" si="18"/>
        <v>1745</v>
      </c>
      <c r="BV14" s="8">
        <f t="shared" si="19"/>
        <v>1330</v>
      </c>
      <c r="BW14" s="8">
        <f t="shared" si="20"/>
        <v>345.50000000000011</v>
      </c>
      <c r="BX14" s="8">
        <f t="shared" si="21"/>
        <v>232.00000000000011</v>
      </c>
      <c r="BY14" s="8">
        <f t="shared" si="22"/>
        <v>0.77272727272727271</v>
      </c>
      <c r="BZ14" s="8">
        <f t="shared" si="23"/>
        <v>0.76217765042979946</v>
      </c>
      <c r="CA14" s="8">
        <f t="shared" si="24"/>
        <v>0.67149059334298133</v>
      </c>
      <c r="CB14" s="8">
        <f>IFERROR(P14+(L14-P14)*(1-Config!$B$39),"")</f>
        <v>1745</v>
      </c>
      <c r="CC14" s="8">
        <f>IFERROR(Q14+(M14-Q14)*(1-Config!$B$39),"")</f>
        <v>1330</v>
      </c>
      <c r="CD14" t="str">
        <f>IF(OR(BF14&lt;&gt;"OK",BG14&lt;&gt;"OK"),"X – INADAPTÉ",IF(AND(BI14&gt;=Config!$B$42,CE14&gt;=Config!$B$43,CF14=0),"A – TRÈS BON CANDIDAT",IF(AND(BI14&gt;=Config!$B$44,CE14&gt;=Config!$B$45,CF14=0),"B – BON CANDIDAT","C – À ÉTUDIER")))</f>
        <v>C – À ÉTUDIER</v>
      </c>
      <c r="CE14" s="7">
        <f t="shared" si="25"/>
        <v>0.76923076923076927</v>
      </c>
      <c r="CF14">
        <f>--(BJ14&lt;Config!$B$46)+--(BK14&lt;Config!$B$47)+--(BL14&lt;Config!$B$47)+--(BM14&lt;Config!$B$47)+--(BN14&lt;Config!$B$48)</f>
        <v>0</v>
      </c>
      <c r="CG14" t="str">
        <f>IF(CF14=0,"Aucune",IF(BJ14&lt;Config!$B$46,"Qgd; ","")&amp;IF(BK14&lt;Config!$B$47,"Qg; ","")&amp;IF(BL14&lt;Config!$B$47,"gm; ","")&amp;IF(BM14&lt;Config!$B$47,"Crss; ","")&amp;IF(BN14&lt;Config!$B$48,"VGS; ",""))</f>
        <v>Aucune</v>
      </c>
      <c r="CH14" t="str">
        <f t="shared" si="26"/>
        <v>NON TESTÉ</v>
      </c>
    </row>
    <row r="15" spans="1:86" ht="60">
      <c r="A15" s="2" t="s">
        <v>65</v>
      </c>
      <c r="B15" s="2" t="s">
        <v>64</v>
      </c>
      <c r="C15" s="2" t="s">
        <v>44</v>
      </c>
      <c r="D15" s="2" t="str">
        <f>IFERROR(VLOOKUP(A15,Selection!$A$17:$I$28,4,FALSE),"NON TESTÉ / NOT TESTED")</f>
        <v>NON TESTÉ / NOT TESTED</v>
      </c>
      <c r="E15" s="2">
        <f>IFERROR(VLOOKUP(A15,Selection!$A$17:$I$28,5,FALSE),"")</f>
        <v>0</v>
      </c>
      <c r="F15" s="2">
        <f>IFERROR(VLOOKUP(A15,Selection!$A$17:$I$28,6,FALSE),"")</f>
        <v>0</v>
      </c>
      <c r="G15" s="2" t="str">
        <f>IF(Config!$B$3="FR",IFERROR(T(VLOOKUP(A15,Selection!$A$17:$I$28,7,FALSE)),""),IF(IFERROR(T(VLOOKUP(A15,Selection!$A$17:$I$28,8,FALSE)),"")&lt;&gt;"",IFERROR(T(VLOOKUP(A15,Selection!$A$17:$I$28,8,FALSE)),""),IFERROR(T(VLOOKUP(A15,Selection!$A$17:$I$28,7,FALSE)),"")))</f>
        <v>Combination to validate on Q17.</v>
      </c>
      <c r="H15" s="2">
        <f>IFERROR(VLOOKUP($B15,MOSFET!$A$2:$Q$11,5,FALSE),"")</f>
        <v>200</v>
      </c>
      <c r="I15" s="2">
        <f>IFERROR(VLOOKUP($C15,MOSFET!$A$2:$Q$11,5,FALSE),"")</f>
        <v>150</v>
      </c>
      <c r="J15" s="2">
        <f>IFERROR(VLOOKUP($B15,MOSFET!$A$2:$Q$11,6,FALSE),"")</f>
        <v>74</v>
      </c>
      <c r="K15" s="2">
        <f>IFERROR(VLOOKUP($C15,MOSFET!$A$2:$Q$11,6,FALSE),"")</f>
        <v>36</v>
      </c>
      <c r="L15" s="2">
        <f>IFERROR(VLOOKUP($B15,MOSFET!$A$2:$Q$11,7,FALSE),"")</f>
        <v>3300</v>
      </c>
      <c r="M15" s="2">
        <f>IFERROR(VLOOKUP($C15,MOSFET!$A$2:$Q$11,7,FALSE),"")</f>
        <v>3100</v>
      </c>
      <c r="N15" s="2">
        <f>IFERROR(VLOOKUP($B15,MOSFET!$A$2:$Q$11,8,FALSE),"")</f>
        <v>800</v>
      </c>
      <c r="O15" s="2">
        <f>IFERROR(VLOOKUP($C15,MOSFET!$A$2:$Q$11,8,FALSE),"")</f>
        <v>610</v>
      </c>
      <c r="P15" s="2">
        <f>IFERROR(VLOOKUP($B15,MOSFET!$A$2:$Q$11,9,FALSE),"")</f>
        <v>190</v>
      </c>
      <c r="Q15" s="2">
        <f>IFERROR(VLOOKUP($C15,MOSFET!$A$2:$Q$11,9,FALSE),"")</f>
        <v>100</v>
      </c>
      <c r="R15" s="2">
        <f>IFERROR(VLOOKUP($B15,MOSFET!$A$2:$Q$11,10,FALSE),"")</f>
        <v>44</v>
      </c>
      <c r="S15" s="2">
        <f>IFERROR(VLOOKUP($C15,MOSFET!$A$2:$Q$11,10,FALSE),"")</f>
        <v>19</v>
      </c>
      <c r="T15" s="2">
        <f>IFERROR(VLOOKUP($B15,MOSFET!$A$2:$Q$11,11,FALSE),"")</f>
        <v>37</v>
      </c>
      <c r="U15" s="2">
        <f>IFERROR(VLOOKUP($C15,MOSFET!$A$2:$Q$11,11,FALSE),"")</f>
        <v>18</v>
      </c>
      <c r="V15" s="2">
        <f>IFERROR(VLOOKUP($B15,MOSFET!$A$2:$Q$11,12,FALSE),0)</f>
        <v>0</v>
      </c>
      <c r="W15" s="2">
        <f>IFERROR(VLOOKUP($C15,MOSFET!$A$2:$Q$11,12,FALSE),0)</f>
        <v>0</v>
      </c>
      <c r="X15" s="2">
        <f>IFERROR(VLOOKUP($B15,MOSFET!$A$2:$Q$11,13,FALSE),"")</f>
        <v>107</v>
      </c>
      <c r="Y15" s="2">
        <f>IFERROR(VLOOKUP($C15,MOSFET!$A$2:$Q$11,13,FALSE),"")</f>
        <v>55</v>
      </c>
      <c r="Z15" s="2">
        <f>IFERROR(VLOOKUP($B15,MOSFET!$A$2:$Q$11,16,FALSE),"")</f>
        <v>4.5999999999999996</v>
      </c>
      <c r="AA15" s="2">
        <f>IFERROR(VLOOKUP($C15,MOSFET!$A$2:$Q$11,16,FALSE),"")</f>
        <v>4.8</v>
      </c>
      <c r="AB15" s="9">
        <f>IFERROR(R15*SQRT(Config!$B$13/T15),"")</f>
        <v>12.78724026182012</v>
      </c>
      <c r="AC15" s="9">
        <f>IFERROR(S15*SQRT(Config!$B$13/U15),"")</f>
        <v>7.916666666666667</v>
      </c>
      <c r="AD15" s="9">
        <f>IFERROR((1/(2*PI()))*SQRT((1+AB15*Config!$B$12)/(Config!$B$14*0.000000001*L15*0.000000000001))/1000000,"")</f>
        <v>162.57296523807483</v>
      </c>
      <c r="AE15" s="9">
        <f>IFERROR((1/(2*PI()))*SQRT((1+AC15*Config!$B$12)/(Config!$B$14*0.000000001*M15*0.000000000001))/1000000,"")</f>
        <v>132.37216881932235</v>
      </c>
      <c r="AF15" s="9">
        <f>IFERROR((AB15*N15*Config!$B$12^2/L15)/(1+(2*PI()*AD15*1000000*N15*0.000000000001*Config!$B$12)^2),"")</f>
        <v>4.535987311485961</v>
      </c>
      <c r="AG15" s="9">
        <f>IFERROR((AC15*O15*Config!$B$12^2/M15)/(1+(2*PI()*AE15*1000000*O15*0.000000000001*Config!$B$12)^2),"")</f>
        <v>5.7056364205032697</v>
      </c>
      <c r="AH15" s="9">
        <f>IF(AF15="","",MAX(0,Config!$B$16*AF15-V15-Config!$B$15))</f>
        <v>6.3503822360803452</v>
      </c>
      <c r="AI15" s="9">
        <f>IF(AG15="","",MAX(0,Config!$B$16*AG15-W15-Config!$B$15))</f>
        <v>7.987890988704577</v>
      </c>
      <c r="AJ15" s="2">
        <f>IF(AH15="","",IF(AH15&lt;=10,10,IF(AH15&gt;=10000,10000,IF(VLOOKUP(AH15,Notes!$F$2:$G$74,1,TRUE)=AH15,AH15,VLOOKUP(AH15,Notes!$F$2:$G$74,2,TRUE)))))</f>
        <v>10</v>
      </c>
      <c r="AK15" s="2">
        <f>IF(AI15="","",IF(AI15&lt;=10,10,IF(AI15&gt;=10000,10000,IF(VLOOKUP(AI15,Notes!$F$2:$G$74,1,TRUE)=AI15,AI15,VLOOKUP(AI15,Notes!$F$2:$G$74,2,TRUE)))))</f>
        <v>10</v>
      </c>
      <c r="AL15" s="10">
        <f t="shared" si="0"/>
        <v>4.8228770633907683</v>
      </c>
      <c r="AM15" s="10">
        <f t="shared" si="1"/>
        <v>5.1340304223192055</v>
      </c>
      <c r="AN15" s="10">
        <f t="shared" si="2"/>
        <v>4.8228770633907683</v>
      </c>
      <c r="AO15" s="2">
        <f t="shared" si="3"/>
        <v>10</v>
      </c>
      <c r="AP15" s="2">
        <f t="shared" si="4"/>
        <v>10.64516129032258</v>
      </c>
      <c r="AQ15" s="2">
        <f>IF(AO15="","",IF(MAX(AH15,AO15)&lt;=10,10,IF(MAX(AH15,AO15)&gt;=10000,10000,IF(VLOOKUP(MAX(AH15,AO15),Notes!$F$2:$G$74,1,TRUE)=MAX(AH15,AO15),MAX(AH15,AO15),VLOOKUP(MAX(AH15,AO15),Notes!$F$2:$G$74,2,TRUE)))))</f>
        <v>10</v>
      </c>
      <c r="AR15" s="2">
        <f>IF(AP15="","",IF(MAX(AI15,AP15)&lt;=10,10,IF(MAX(AI15,AP15)&gt;=10000,10000,IF(VLOOKUP(MAX(AI15,AP15),Notes!$F$2:$G$74,1,TRUE)=MAX(AI15,AP15),MAX(AI15,AP15),VLOOKUP(MAX(AI15,AP15),Notes!$F$2:$G$74,2,TRUE)))))</f>
        <v>11</v>
      </c>
      <c r="AS15" s="9">
        <f>IFERROR(P15+(L15-P15)/(1+AB15*Config!$B$12),"")</f>
        <v>220.10709157492099</v>
      </c>
      <c r="AT15" s="9">
        <f>IFERROR(Q15+(M15-Q15)/(1+AC15*Config!$B$12),"")</f>
        <v>146.6321243523316</v>
      </c>
      <c r="AU15" s="9">
        <f>IFERROR(MAX(0,MIN(TAN(RADIANS(Config!$B$21))/(2*PI()*Config!$B$20*1000*AS15*0.000000000001)-V15-Config!$B$15,SQRT(10^(Config!$B$22/10)-1)/(2*PI()*Config!$B$20*1000*AS15*0.000000000001)-V15-Config!$B$15)),"")</f>
        <v>632.61265982040447</v>
      </c>
      <c r="AV15" s="9">
        <f>IFERROR(MAX(0,MIN(TAN(RADIANS(Config!$B$21))/(2*PI()*Config!$B$20*1000*AT15*0.000000000001)-W15-Config!$B$15,SQRT(10^(Config!$B$22/10)-1)/(2*PI()*Config!$B$20*1000*AT15*0.000000000001)-W15-Config!$B$15)),"")</f>
        <v>949.60455126441752</v>
      </c>
      <c r="AW15" s="2">
        <f>IF(AU15="","",IF(AU15&lt;10,"&lt;10",IF(AU15&gt;=10000,10000,VLOOKUP(AU15,Notes!$F$2:$G$74,1,TRUE))))</f>
        <v>620</v>
      </c>
      <c r="AX15" s="2">
        <f>IF(AV15="","",IF(AV15&lt;10,"&lt;10",IF(AV15&gt;=10000,10000,VLOOKUP(AV15,Notes!$F$2:$G$74,1,TRUE))))</f>
        <v>910</v>
      </c>
      <c r="AY15" s="2">
        <f>IFERROR(IF((IF(Config!$B$8="R14",Config!$B$9,Config!$B$9*CC15/CB15))&lt;=10,10,IF((IF(Config!$B$8="R14",Config!$B$9,Config!$B$9*CC15/CB15))&gt;=10000,10000,IF(ABS((IF(Config!$B$8="R14",Config!$B$9,Config!$B$9*CC15/CB15))-VLOOKUP((IF(Config!$B$8="R14",Config!$B$9,Config!$B$9*CC15/CB15)),Notes!$F$2:$G$74,1,TRUE))&lt;=ABS(VLOOKUP((IF(Config!$B$8="R14",Config!$B$9,Config!$B$9*CC15/CB15)),Notes!$F$2:$G$74,2,TRUE)-(IF(Config!$B$8="R14",Config!$B$9,Config!$B$9*CC15/CB15))),VLOOKUP((IF(Config!$B$8="R14",Config!$B$9,Config!$B$9*CC15/CB15)),Notes!$F$2:$G$74,1,TRUE),VLOOKUP((IF(Config!$B$8="R14",Config!$B$9,Config!$B$9*CC15/CB15)),Notes!$F$2:$G$74,2,TRUE)))),"")</f>
        <v>100</v>
      </c>
      <c r="AZ15" s="2">
        <f>IFERROR(IF((IF(Config!$B$8="R15",Config!$B$9,Config!$B$9*CB15/CC15))&lt;=10,10,IF((IF(Config!$B$8="R15",Config!$B$9,Config!$B$9*CB15/CC15))&gt;=10000,10000,IF(ABS((IF(Config!$B$8="R15",Config!$B$9,Config!$B$9*CB15/CC15))-VLOOKUP((IF(Config!$B$8="R15",Config!$B$9,Config!$B$9*CB15/CC15)),Notes!$F$2:$G$74,1,TRUE))&lt;=ABS(VLOOKUP((IF(Config!$B$8="R15",Config!$B$9,Config!$B$9*CB15/CC15)),Notes!$F$2:$G$74,2,TRUE)-(IF(Config!$B$8="R15",Config!$B$9,Config!$B$9*CB15/CC15))),VLOOKUP((IF(Config!$B$8="R15",Config!$B$9,Config!$B$9*CB15/CC15)),Notes!$F$2:$G$74,1,TRUE),VLOOKUP((IF(Config!$B$8="R15",Config!$B$9,Config!$B$9*CB15/CC15)),Notes!$F$2:$G$74,2,TRUE)))),"")</f>
        <v>110</v>
      </c>
      <c r="BA15" s="2" t="str">
        <f>IF(OR(AW15="&lt;10",AX15="&lt;10"),"NO",IF(AND(AY15&gt;=AJ15,AY15&lt;=AW15,AZ15&gt;=AK15,AZ15&lt;=AX15,ABS(1/(AY15*L15)-1/(AZ15*M15))/MIN(1/(AY15*L15),1/(AZ15*M15))&lt;=Config!$B$19),"YES","NO"))</f>
        <v>YES</v>
      </c>
      <c r="BB15" s="18">
        <f t="shared" si="5"/>
        <v>100</v>
      </c>
      <c r="BC15" s="18">
        <f t="shared" si="6"/>
        <v>110</v>
      </c>
      <c r="BD15" s="2" t="str">
        <f t="shared" si="7"/>
        <v>CIBLE INITIALE</v>
      </c>
      <c r="BE15" s="11">
        <f t="shared" si="8"/>
        <v>8.5959885386819486E-3</v>
      </c>
      <c r="BF15" s="2" t="str">
        <f>IF(B15="","",IF(VLOOKUP(B15,MOSFET!$A$2:$Q$11,2,FALSE)&lt;&gt;"N","NON – canal",IF(H15&lt;2*Config!$B$11*Config!$B$17,"NON – Vdss",IF(J15&lt;Config!$B$13*Config!$B$18,"NON – Id",IF(L15&gt;Config!$B$23,"NON – Ciss",IF(OR(L15="",P15="",X15="",BQ15="",R15="",T15="",Z15=""),"DONNÉES À COMPLÉTER","OK"))))))</f>
        <v>OK</v>
      </c>
      <c r="BG15" s="2" t="str">
        <f>IF(C15="","",IF(VLOOKUP(C15,MOSFET!$A$2:$Q$11,2,FALSE)&lt;&gt;"P","NON – canal",IF(I15&lt;2*Config!$B$11*Config!$B$17,"NON – Vdss",IF(K15&lt;Config!$B$13*Config!$B$18,"NON – Id",IF(M15&gt;Config!$B$23,"NON – Ciss",IF(OR(M15="",Q15="",Y15="",BR15="",S15="",U15="",AA15=""),"DONNÉES À COMPLÉTER","OK"))))))</f>
        <v>OK</v>
      </c>
      <c r="BH15" s="2" t="str">
        <f t="shared" si="9"/>
        <v>À ÉVALUER – compatibilité faible</v>
      </c>
      <c r="BI15" s="11">
        <f>IFERROR((Config!$B$34*BY15+Config!$B$35*BZ15+Config!$B$36*CA15)/Config!$B$37,"")</f>
        <v>0.84520099087148226</v>
      </c>
      <c r="BJ15" s="11">
        <f t="shared" si="10"/>
        <v>0.34615384615384615</v>
      </c>
      <c r="BK15" s="11">
        <f t="shared" si="11"/>
        <v>0.51401869158878499</v>
      </c>
      <c r="BL15" s="11">
        <f t="shared" si="12"/>
        <v>0.61910674270382549</v>
      </c>
      <c r="BM15" s="11">
        <f t="shared" si="13"/>
        <v>0.52631578947368418</v>
      </c>
      <c r="BN15" s="7">
        <f t="shared" si="14"/>
        <v>0.95833333333333326</v>
      </c>
      <c r="BO15" s="7">
        <f>IFERROR((Config!$B$25*BI15+Config!$B$26*BJ15+Config!$B$27*BK15+Config!$B$28*BL15+Config!$B$29*BM15+Config!$B$30*BN15)/Config!$B$31,"")</f>
        <v>0.6412247939168072</v>
      </c>
      <c r="BP15" s="17">
        <f t="shared" si="15"/>
        <v>1</v>
      </c>
      <c r="BQ15" s="8">
        <f>IFERROR(VLOOKUP($B15,MOSFET!$A$2:$Q$11,14,FALSE),"")</f>
        <v>52</v>
      </c>
      <c r="BR15" s="8">
        <f>IFERROR(VLOOKUP($C15,MOSFET!$A$2:$Q$11,14,FALSE),"")</f>
        <v>18</v>
      </c>
      <c r="BS15" s="8">
        <f t="shared" si="16"/>
        <v>3300</v>
      </c>
      <c r="BT15" s="8">
        <f t="shared" si="17"/>
        <v>3100</v>
      </c>
      <c r="BU15" s="8">
        <f t="shared" si="18"/>
        <v>1745</v>
      </c>
      <c r="BV15" s="8">
        <f t="shared" si="19"/>
        <v>1600</v>
      </c>
      <c r="BW15" s="8">
        <f t="shared" si="20"/>
        <v>345.50000000000011</v>
      </c>
      <c r="BX15" s="8">
        <f t="shared" si="21"/>
        <v>250.00000000000014</v>
      </c>
      <c r="BY15" s="8">
        <f t="shared" si="22"/>
        <v>0.93939393939393945</v>
      </c>
      <c r="BZ15" s="8">
        <f t="shared" si="23"/>
        <v>0.91690544412607455</v>
      </c>
      <c r="CA15" s="8">
        <f t="shared" si="24"/>
        <v>0.72358900144717819</v>
      </c>
      <c r="CB15" s="8">
        <f>IFERROR(P15+(L15-P15)*(1-Config!$B$39),"")</f>
        <v>1745</v>
      </c>
      <c r="CC15" s="8">
        <f>IFERROR(Q15+(M15-Q15)*(1-Config!$B$39),"")</f>
        <v>1600</v>
      </c>
      <c r="CD15" t="str">
        <f>IF(OR(BF15&lt;&gt;"OK",BG15&lt;&gt;"OK"),"X – INADAPTÉ",IF(AND(BI15&gt;=Config!$B$42,CE15&gt;=Config!$B$43,CF15=0),"A – TRÈS BON CANDIDAT",IF(AND(BI15&gt;=Config!$B$44,CE15&gt;=Config!$B$45,CF15=0),"B – BON CANDIDAT","C – À ÉTUDIER")))</f>
        <v>C – À ÉTUDIER</v>
      </c>
      <c r="CE15" s="7">
        <f t="shared" si="25"/>
        <v>0.90909090909090906</v>
      </c>
      <c r="CF15">
        <f>--(BJ15&lt;Config!$B$46)+--(BK15&lt;Config!$B$47)+--(BL15&lt;Config!$B$47)+--(BM15&lt;Config!$B$47)+--(BN15&lt;Config!$B$48)</f>
        <v>1</v>
      </c>
      <c r="CG15" t="str">
        <f>IF(CF15=0,"Aucune",IF(BJ15&lt;Config!$B$46,"Qgd; ","")&amp;IF(BK15&lt;Config!$B$47,"Qg; ","")&amp;IF(BL15&lt;Config!$B$47,"gm; ","")&amp;IF(BM15&lt;Config!$B$47,"Crss; ","")&amp;IF(BN15&lt;Config!$B$48,"VGS; ",""))</f>
        <v xml:space="preserve">Qgd; </v>
      </c>
      <c r="CH15" t="str">
        <f t="shared" si="26"/>
        <v>NON TESTÉ</v>
      </c>
    </row>
    <row r="16" spans="1:86" ht="60">
      <c r="A16" s="2" t="s">
        <v>67</v>
      </c>
      <c r="B16" s="2" t="s">
        <v>64</v>
      </c>
      <c r="C16" s="2" t="s">
        <v>57</v>
      </c>
      <c r="D16" s="2" t="str">
        <f>IFERROR(VLOOKUP(A16,Selection!$A$17:$I$28,4,FALSE),"NON TESTÉ / NOT TESTED")</f>
        <v>REJETÉ / REJECTED</v>
      </c>
      <c r="E16" s="2">
        <f>IFERROR(VLOOKUP(A16,Selection!$A$17:$I$28,5,FALSE),"")</f>
        <v>0</v>
      </c>
      <c r="F16" s="2">
        <f>IFERROR(VLOOKUP(A16,Selection!$A$17:$I$28,6,FALSE),"")</f>
        <v>0</v>
      </c>
      <c r="G16" s="2" t="str">
        <f>IF(Config!$B$3="FR",IFERROR(T(VLOOKUP(A16,Selection!$A$17:$I$28,7,FALSE)),""),IF(IFERROR(T(VLOOKUP(A16,Selection!$A$17:$I$28,8,FALSE)),"")&lt;&gt;"",IFERROR(T(VLOOKUP(A16,Selection!$A$17:$I$28,8,FALSE)),""),IFERROR(T(VLOOKUP(A16,Selection!$A$17:$I$28,7,FALSE)),"")))</f>
        <v>Combination to validate on Q17.</v>
      </c>
      <c r="H16" s="2">
        <f>IFERROR(VLOOKUP($B16,MOSFET!$A$2:$Q$11,5,FALSE),"")</f>
        <v>200</v>
      </c>
      <c r="I16" s="2">
        <f>IFERROR(VLOOKUP($C16,MOSFET!$A$2:$Q$11,5,FALSE),"")</f>
        <v>200</v>
      </c>
      <c r="J16" s="2">
        <f>IFERROR(VLOOKUP($B16,MOSFET!$A$2:$Q$11,6,FALSE),"")</f>
        <v>74</v>
      </c>
      <c r="K16" s="2">
        <f>IFERROR(VLOOKUP($C16,MOSFET!$A$2:$Q$11,6,FALSE),"")</f>
        <v>26</v>
      </c>
      <c r="L16" s="2">
        <f>IFERROR(VLOOKUP($B16,MOSFET!$A$2:$Q$11,7,FALSE),"")</f>
        <v>3300</v>
      </c>
      <c r="M16" s="2">
        <f>IFERROR(VLOOKUP($C16,MOSFET!$A$2:$Q$11,7,FALSE),"")</f>
        <v>2740</v>
      </c>
      <c r="N16" s="2">
        <f>IFERROR(VLOOKUP($B16,MOSFET!$A$2:$Q$11,8,FALSE),"")</f>
        <v>800</v>
      </c>
      <c r="O16" s="2">
        <f>IFERROR(VLOOKUP($C16,MOSFET!$A$2:$Q$11,8,FALSE),"")</f>
        <v>540</v>
      </c>
      <c r="P16" s="2">
        <f>IFERROR(VLOOKUP($B16,MOSFET!$A$2:$Q$11,9,FALSE),"")</f>
        <v>190</v>
      </c>
      <c r="Q16" s="2">
        <f>IFERROR(VLOOKUP($C16,MOSFET!$A$2:$Q$11,9,FALSE),"")</f>
        <v>100</v>
      </c>
      <c r="R16" s="2">
        <f>IFERROR(VLOOKUP($B16,MOSFET!$A$2:$Q$11,10,FALSE),"")</f>
        <v>44</v>
      </c>
      <c r="S16" s="2">
        <f>IFERROR(VLOOKUP($C16,MOSFET!$A$2:$Q$11,10,FALSE),"")</f>
        <v>17</v>
      </c>
      <c r="T16" s="2">
        <f>IFERROR(VLOOKUP($B16,MOSFET!$A$2:$Q$11,11,FALSE),"")</f>
        <v>37</v>
      </c>
      <c r="U16" s="2">
        <f>IFERROR(VLOOKUP($C16,MOSFET!$A$2:$Q$11,11,FALSE),"")</f>
        <v>13</v>
      </c>
      <c r="V16" s="2">
        <f>IFERROR(VLOOKUP($B16,MOSFET!$A$2:$Q$11,12,FALSE),0)</f>
        <v>0</v>
      </c>
      <c r="W16" s="2">
        <f>IFERROR(VLOOKUP($C16,MOSFET!$A$2:$Q$11,12,FALSE),0)</f>
        <v>0</v>
      </c>
      <c r="X16" s="2">
        <f>IFERROR(VLOOKUP($B16,MOSFET!$A$2:$Q$11,13,FALSE),"")</f>
        <v>107</v>
      </c>
      <c r="Y16" s="2">
        <f>IFERROR(VLOOKUP($C16,MOSFET!$A$2:$Q$11,13,FALSE),"")</f>
        <v>56</v>
      </c>
      <c r="Z16" s="2">
        <f>IFERROR(VLOOKUP($B16,MOSFET!$A$2:$Q$11,16,FALSE),"")</f>
        <v>4.5999999999999996</v>
      </c>
      <c r="AA16" s="2">
        <f>IFERROR(VLOOKUP($C16,MOSFET!$A$2:$Q$11,16,FALSE),"")</f>
        <v>4.4000000000000004</v>
      </c>
      <c r="AB16" s="9">
        <f>IFERROR(R16*SQRT(Config!$B$13/T16),"")</f>
        <v>12.78724026182012</v>
      </c>
      <c r="AC16" s="9">
        <f>IFERROR(S16*SQRT(Config!$B$13/U16),"")</f>
        <v>8.3349357433728226</v>
      </c>
      <c r="AD16" s="9">
        <f>IFERROR((1/(2*PI()))*SQRT((1+AB16*Config!$B$12)/(Config!$B$14*0.000000001*L16*0.000000000001))/1000000,"")</f>
        <v>162.57296523807483</v>
      </c>
      <c r="AE16" s="9">
        <f>IFERROR((1/(2*PI()))*SQRT((1+AC16*Config!$B$12)/(Config!$B$14*0.000000001*M16*0.000000000001))/1000000,"")</f>
        <v>144.41514763887656</v>
      </c>
      <c r="AF16" s="9">
        <f>IFERROR((AB16*N16*Config!$B$12^2/L16)/(1+(2*PI()*AD16*1000000*N16*0.000000000001*Config!$B$12)^2),"")</f>
        <v>4.535987311485961</v>
      </c>
      <c r="AG16" s="9">
        <f>IFERROR((AC16*O16*Config!$B$12^2/M16)/(1+(2*PI()*AE16*1000000*O16*0.000000000001*Config!$B$12)^2),"")</f>
        <v>6.4237774505538843</v>
      </c>
      <c r="AH16" s="9">
        <f>IF(AF16="","",MAX(0,Config!$B$16*AF16-V16-Config!$B$15))</f>
        <v>6.3503822360803452</v>
      </c>
      <c r="AI16" s="9">
        <f>IF(AG16="","",MAX(0,Config!$B$16*AG16-W16-Config!$B$15))</f>
        <v>8.9932884307754382</v>
      </c>
      <c r="AJ16" s="2">
        <f>IF(AH16="","",IF(AH16&lt;=10,10,IF(AH16&gt;=10000,10000,IF(VLOOKUP(AH16,Notes!$F$2:$G$74,1,TRUE)=AH16,AH16,VLOOKUP(AH16,Notes!$F$2:$G$74,2,TRUE)))))</f>
        <v>10</v>
      </c>
      <c r="AK16" s="2">
        <f>IF(AI16="","",IF(AI16&lt;=10,10,IF(AI16&gt;=10000,10000,IF(VLOOKUP(AI16,Notes!$F$2:$G$74,1,TRUE)=AI16,AI16,VLOOKUP(AI16,Notes!$F$2:$G$74,2,TRUE)))))</f>
        <v>10</v>
      </c>
      <c r="AL16" s="10">
        <f t="shared" si="0"/>
        <v>4.8228770633907683</v>
      </c>
      <c r="AM16" s="10">
        <f t="shared" si="1"/>
        <v>5.8085745653976399</v>
      </c>
      <c r="AN16" s="10">
        <f t="shared" si="2"/>
        <v>4.8228770633907683</v>
      </c>
      <c r="AO16" s="2">
        <f t="shared" si="3"/>
        <v>10</v>
      </c>
      <c r="AP16" s="2">
        <f t="shared" si="4"/>
        <v>12.043795620437955</v>
      </c>
      <c r="AQ16" s="2">
        <f>IF(AO16="","",IF(MAX(AH16,AO16)&lt;=10,10,IF(MAX(AH16,AO16)&gt;=10000,10000,IF(VLOOKUP(MAX(AH16,AO16),Notes!$F$2:$G$74,1,TRUE)=MAX(AH16,AO16),MAX(AH16,AO16),VLOOKUP(MAX(AH16,AO16),Notes!$F$2:$G$74,2,TRUE)))))</f>
        <v>10</v>
      </c>
      <c r="AR16" s="2">
        <f>IF(AP16="","",IF(MAX(AI16,AP16)&lt;=10,10,IF(MAX(AI16,AP16)&gt;=10000,10000,IF(VLOOKUP(MAX(AI16,AP16),Notes!$F$2:$G$74,1,TRUE)=MAX(AI16,AP16),MAX(AI16,AP16),VLOOKUP(MAX(AI16,AP16),Notes!$F$2:$G$74,2,TRUE)))))</f>
        <v>13</v>
      </c>
      <c r="AS16" s="9">
        <f>IFERROR(P16+(L16-P16)/(1+AB16*Config!$B$12),"")</f>
        <v>220.10709157492099</v>
      </c>
      <c r="AT16" s="9">
        <f>IFERROR(Q16+(M16-Q16)/(1+AC16*Config!$B$12),"")</f>
        <v>139.00738847319366</v>
      </c>
      <c r="AU16" s="9">
        <f>IFERROR(MAX(0,MIN(TAN(RADIANS(Config!$B$21))/(2*PI()*Config!$B$20*1000*AS16*0.000000000001)-V16-Config!$B$15,SQRT(10^(Config!$B$22/10)-1)/(2*PI()*Config!$B$20*1000*AS16*0.000000000001)-V16-Config!$B$15)),"")</f>
        <v>632.61265982040447</v>
      </c>
      <c r="AV16" s="9">
        <f>IFERROR(MAX(0,MIN(TAN(RADIANS(Config!$B$21))/(2*PI()*Config!$B$20*1000*AT16*0.000000000001)-W16-Config!$B$15,SQRT(10^(Config!$B$22/10)-1)/(2*PI()*Config!$B$20*1000*AT16*0.000000000001)-W16-Config!$B$15)),"")</f>
        <v>1001.691594784516</v>
      </c>
      <c r="AW16" s="2">
        <f>IF(AU16="","",IF(AU16&lt;10,"&lt;10",IF(AU16&gt;=10000,10000,VLOOKUP(AU16,Notes!$F$2:$G$74,1,TRUE))))</f>
        <v>620</v>
      </c>
      <c r="AX16" s="2">
        <f>IF(AV16="","",IF(AV16&lt;10,"&lt;10",IF(AV16&gt;=10000,10000,VLOOKUP(AV16,Notes!$F$2:$G$74,1,TRUE))))</f>
        <v>1000</v>
      </c>
      <c r="AY16" s="2">
        <f>IFERROR(IF((IF(Config!$B$8="R14",Config!$B$9,Config!$B$9*CC16/CB16))&lt;=10,10,IF((IF(Config!$B$8="R14",Config!$B$9,Config!$B$9*CC16/CB16))&gt;=10000,10000,IF(ABS((IF(Config!$B$8="R14",Config!$B$9,Config!$B$9*CC16/CB16))-VLOOKUP((IF(Config!$B$8="R14",Config!$B$9,Config!$B$9*CC16/CB16)),Notes!$F$2:$G$74,1,TRUE))&lt;=ABS(VLOOKUP((IF(Config!$B$8="R14",Config!$B$9,Config!$B$9*CC16/CB16)),Notes!$F$2:$G$74,2,TRUE)-(IF(Config!$B$8="R14",Config!$B$9,Config!$B$9*CC16/CB16))),VLOOKUP((IF(Config!$B$8="R14",Config!$B$9,Config!$B$9*CC16/CB16)),Notes!$F$2:$G$74,1,TRUE),VLOOKUP((IF(Config!$B$8="R14",Config!$B$9,Config!$B$9*CC16/CB16)),Notes!$F$2:$G$74,2,TRUE)))),"")</f>
        <v>100</v>
      </c>
      <c r="AZ16" s="2">
        <f>IFERROR(IF((IF(Config!$B$8="R15",Config!$B$9,Config!$B$9*CB16/CC16))&lt;=10,10,IF((IF(Config!$B$8="R15",Config!$B$9,Config!$B$9*CB16/CC16))&gt;=10000,10000,IF(ABS((IF(Config!$B$8="R15",Config!$B$9,Config!$B$9*CB16/CC16))-VLOOKUP((IF(Config!$B$8="R15",Config!$B$9,Config!$B$9*CB16/CC16)),Notes!$F$2:$G$74,1,TRUE))&lt;=ABS(VLOOKUP((IF(Config!$B$8="R15",Config!$B$9,Config!$B$9*CB16/CC16)),Notes!$F$2:$G$74,2,TRUE)-(IF(Config!$B$8="R15",Config!$B$9,Config!$B$9*CB16/CC16))),VLOOKUP((IF(Config!$B$8="R15",Config!$B$9,Config!$B$9*CB16/CC16)),Notes!$F$2:$G$74,1,TRUE),VLOOKUP((IF(Config!$B$8="R15",Config!$B$9,Config!$B$9*CB16/CC16)),Notes!$F$2:$G$74,2,TRUE)))),"")</f>
        <v>120</v>
      </c>
      <c r="BA16" s="2" t="str">
        <f>IF(OR(AW16="&lt;10",AX16="&lt;10"),"NO",IF(AND(AY16&gt;=AJ16,AY16&lt;=AW16,AZ16&gt;=AK16,AZ16&lt;=AX16,ABS(1/(AY16*L16)-1/(AZ16*M16))/MIN(1/(AY16*L16),1/(AZ16*M16))&lt;=Config!$B$19),"YES","NO"))</f>
        <v>YES</v>
      </c>
      <c r="BB16" s="18">
        <f t="shared" si="5"/>
        <v>100</v>
      </c>
      <c r="BC16" s="18">
        <f t="shared" si="6"/>
        <v>120</v>
      </c>
      <c r="BD16" s="2" t="str">
        <f t="shared" si="7"/>
        <v>CIBLE INITIALE</v>
      </c>
      <c r="BE16" s="11">
        <f t="shared" si="8"/>
        <v>2.4061032863849766E-2</v>
      </c>
      <c r="BF16" s="2" t="str">
        <f>IF(B16="","",IF(VLOOKUP(B16,MOSFET!$A$2:$Q$11,2,FALSE)&lt;&gt;"N","NON – canal",IF(H16&lt;2*Config!$B$11*Config!$B$17,"NON – Vdss",IF(J16&lt;Config!$B$13*Config!$B$18,"NON – Id",IF(L16&gt;Config!$B$23,"NON – Ciss",IF(OR(L16="",P16="",X16="",BQ16="",R16="",T16="",Z16=""),"DONNÉES À COMPLÉTER","OK"))))))</f>
        <v>OK</v>
      </c>
      <c r="BG16" s="2" t="str">
        <f>IF(C16="","",IF(VLOOKUP(C16,MOSFET!$A$2:$Q$11,2,FALSE)&lt;&gt;"P","NON – canal",IF(I16&lt;2*Config!$B$11*Config!$B$17,"NON – Vdss",IF(K16&lt;Config!$B$13*Config!$B$18,"NON – Id",IF(M16&gt;Config!$B$23,"NON – Ciss",IF(OR(M16="",Q16="",Y16="",BR16="",S16="",U16="",AA16=""),"DONNÉES À COMPLÉTER","OK"))))))</f>
        <v>OK</v>
      </c>
      <c r="BH16" s="2" t="str">
        <f t="shared" si="9"/>
        <v>À ÉVALUER – compatibilité faible</v>
      </c>
      <c r="BI16" s="11">
        <f>IFERROR((Config!$B$34*BY16+Config!$B$35*BZ16+Config!$B$36*CA16)/Config!$B$37,"")</f>
        <v>0.76098574849461209</v>
      </c>
      <c r="BJ16" s="11">
        <f t="shared" si="10"/>
        <v>0.38461538461538464</v>
      </c>
      <c r="BK16" s="11">
        <f t="shared" si="11"/>
        <v>0.52336448598130836</v>
      </c>
      <c r="BL16" s="11">
        <f t="shared" si="12"/>
        <v>0.65181662131266138</v>
      </c>
      <c r="BM16" s="11">
        <f t="shared" si="13"/>
        <v>0.52631578947368418</v>
      </c>
      <c r="BN16" s="7">
        <f t="shared" si="14"/>
        <v>0.95652173913043492</v>
      </c>
      <c r="BO16" s="7">
        <f>IFERROR((Config!$B$25*BI16+Config!$B$26*BJ16+Config!$B$27*BK16+Config!$B$28*BL16+Config!$B$29*BM16+Config!$B$30*BN16)/Config!$B$31,"")</f>
        <v>0.62977972042596797</v>
      </c>
      <c r="BP16" s="17">
        <f t="shared" si="15"/>
        <v>1</v>
      </c>
      <c r="BQ16" s="8">
        <f>IFERROR(VLOOKUP($B16,MOSFET!$A$2:$Q$11,14,FALSE),"")</f>
        <v>52</v>
      </c>
      <c r="BR16" s="8">
        <f>IFERROR(VLOOKUP($C16,MOSFET!$A$2:$Q$11,14,FALSE),"")</f>
        <v>20</v>
      </c>
      <c r="BS16" s="8">
        <f t="shared" si="16"/>
        <v>3300</v>
      </c>
      <c r="BT16" s="8">
        <f t="shared" si="17"/>
        <v>2740</v>
      </c>
      <c r="BU16" s="8">
        <f t="shared" si="18"/>
        <v>1745</v>
      </c>
      <c r="BV16" s="8">
        <f t="shared" si="19"/>
        <v>1420</v>
      </c>
      <c r="BW16" s="8">
        <f t="shared" si="20"/>
        <v>345.50000000000011</v>
      </c>
      <c r="BX16" s="8">
        <f t="shared" si="21"/>
        <v>232.00000000000011</v>
      </c>
      <c r="BY16" s="8">
        <f t="shared" si="22"/>
        <v>0.83030303030303032</v>
      </c>
      <c r="BZ16" s="8">
        <f t="shared" si="23"/>
        <v>0.81375358166189116</v>
      </c>
      <c r="CA16" s="8">
        <f t="shared" si="24"/>
        <v>0.67149059334298133</v>
      </c>
      <c r="CB16" s="8">
        <f>IFERROR(P16+(L16-P16)*(1-Config!$B$39),"")</f>
        <v>1745</v>
      </c>
      <c r="CC16" s="8">
        <f>IFERROR(Q16+(M16-Q16)*(1-Config!$B$39),"")</f>
        <v>1420</v>
      </c>
      <c r="CD16" t="str">
        <f>IF(OR(BF16&lt;&gt;"OK",BG16&lt;&gt;"OK"),"X – INADAPTÉ",IF(AND(BI16&gt;=Config!$B$42,CE16&gt;=Config!$B$43,CF16=0),"A – TRÈS BON CANDIDAT",IF(AND(BI16&gt;=Config!$B$44,CE16&gt;=Config!$B$45,CF16=0),"B – BON CANDIDAT","C – À ÉTUDIER")))</f>
        <v>C – À ÉTUDIER</v>
      </c>
      <c r="CE16" s="7">
        <f t="shared" si="25"/>
        <v>0.83333333333333337</v>
      </c>
      <c r="CF16">
        <f>--(BJ16&lt;Config!$B$46)+--(BK16&lt;Config!$B$47)+--(BL16&lt;Config!$B$47)+--(BM16&lt;Config!$B$47)+--(BN16&lt;Config!$B$48)</f>
        <v>1</v>
      </c>
      <c r="CG16" t="str">
        <f>IF(CF16=0,"Aucune",IF(BJ16&lt;Config!$B$46,"Qgd; ","")&amp;IF(BK16&lt;Config!$B$47,"Qg; ","")&amp;IF(BL16&lt;Config!$B$47,"gm; ","")&amp;IF(BM16&lt;Config!$B$47,"Crss; ","")&amp;IF(BN16&lt;Config!$B$48,"VGS; ",""))</f>
        <v xml:space="preserve">Qgd; </v>
      </c>
      <c r="CH16" t="str">
        <f t="shared" si="26"/>
        <v>REJETÉ</v>
      </c>
    </row>
    <row r="17" spans="1:86">
      <c r="A17" t="s">
        <v>70</v>
      </c>
      <c r="B17" t="s">
        <v>71</v>
      </c>
      <c r="C17" t="s">
        <v>32</v>
      </c>
      <c r="D17" t="str">
        <f>IFERROR(VLOOKUP(A17,Selection!$A$17:$I$34,4,FALSE),"NON TESTÉ / NOT TESTED")</f>
        <v>NON TESTÉ / NOT TESTED</v>
      </c>
      <c r="E17">
        <f>IFERROR(VLOOKUP(A17,Selection!$A$17:$I$34,5,FALSE),"")</f>
        <v>0</v>
      </c>
      <c r="F17">
        <f>IFERROR(VLOOKUP(A17,Selection!$A$17:$I$34,6,FALSE),"")</f>
        <v>0</v>
      </c>
      <c r="G17" t="str">
        <f>IF(Config!$B$3="FR",IFERROR(T(VLOOKUP(A17,Selection!$A$17:$I$34,7,FALSE)),""),IF(IFERROR(T(VLOOKUP(A17,Selection!$A$17:$I$34,8,FALSE)),"")&lt;&gt;"",IFERROR(T(VLOOKUP(A17,Selection!$A$17:$I$34,8,FALSE)),""),IFERROR(T(VLOOKUP(A17,Selection!$A$17:$I$34,7,FALSE)),"")))</f>
        <v>Combination to validate on Q17.</v>
      </c>
      <c r="H17">
        <f>IFERROR(VLOOKUP($B17,MOSFET!$A$2:$Q$13,5,FALSE),"")</f>
        <v>300</v>
      </c>
      <c r="I17">
        <f>IFERROR(VLOOKUP($C17,MOSFET!$A$2:$Q$13,5,FALSE),"")</f>
        <v>150</v>
      </c>
      <c r="J17">
        <f>IFERROR(VLOOKUP($B17,MOSFET!$A$2:$Q$13,6,FALSE),"")</f>
        <v>38</v>
      </c>
      <c r="K17">
        <f>IFERROR(VLOOKUP($C17,MOSFET!$A$2:$Q$13,6,FALSE),"")</f>
        <v>36</v>
      </c>
      <c r="L17">
        <f>IFERROR(VLOOKUP($B17,MOSFET!$A$2:$Q$13,7,FALSE),"")</f>
        <v>2600</v>
      </c>
      <c r="M17">
        <f>IFERROR(VLOOKUP($C17,MOSFET!$A$2:$Q$13,7,FALSE),"")</f>
        <v>2550</v>
      </c>
      <c r="N17">
        <f>IFERROR(VLOOKUP($B17,MOSFET!$A$2:$Q$13,8,FALSE),"")</f>
        <v>500</v>
      </c>
      <c r="O17">
        <f>IFERROR(VLOOKUP($C17,MOSFET!$A$2:$Q$13,8,FALSE),"")</f>
        <v>710</v>
      </c>
      <c r="P17">
        <f>IFERROR(VLOOKUP($B17,MOSFET!$A$2:$Q$13,9,FALSE),"")</f>
        <v>60</v>
      </c>
      <c r="Q17">
        <f>IFERROR(VLOOKUP($C17,MOSFET!$A$2:$Q$13,9,FALSE),"")</f>
        <v>110</v>
      </c>
      <c r="R17">
        <f>IFERROR(VLOOKUP($B17,MOSFET!$A$2:$Q$13,10,FALSE),"")</f>
        <v>34</v>
      </c>
      <c r="S17">
        <f>IFERROR(VLOOKUP($C17,MOSFET!$A$2:$Q$13,10,FALSE),"")</f>
        <v>19.5</v>
      </c>
      <c r="T17">
        <f>IFERROR(VLOOKUP($B17,MOSFET!$A$2:$Q$13,11,FALSE),"")</f>
        <v>19</v>
      </c>
      <c r="U17">
        <f>IFERROR(VLOOKUP($C17,MOSFET!$A$2:$Q$13,11,FALSE),"")</f>
        <v>18</v>
      </c>
      <c r="V17">
        <f>IFERROR(VLOOKUP($B17,MOSFET!$A$2:$Q$13,12,FALSE),0)</f>
        <v>0</v>
      </c>
      <c r="W17">
        <f>IFERROR(VLOOKUP($C17,MOSFET!$A$2:$Q$13,12,FALSE),0)</f>
        <v>0</v>
      </c>
      <c r="X17">
        <f>IFERROR(VLOOKUP($B17,MOSFET!$A$2:$Q$13,13,FALSE),"")</f>
        <v>60</v>
      </c>
      <c r="Y17">
        <f>IFERROR(VLOOKUP($C17,MOSFET!$A$2:$Q$13,13,FALSE),"")</f>
        <v>81</v>
      </c>
      <c r="Z17">
        <f>IFERROR(VLOOKUP($B17,MOSFET!$A$2:$Q$13,16,FALSE),"")</f>
        <v>5.5</v>
      </c>
      <c r="AA17">
        <f>IFERROR(VLOOKUP($C17,MOSFET!$A$2:$Q$13,16,FALSE),"")</f>
        <v>4.3</v>
      </c>
      <c r="AB17">
        <f>IFERROR(R17*SQRT(Config!$B$13/T17),"")</f>
        <v>13.788820796114816</v>
      </c>
      <c r="AC17">
        <f>IFERROR(S17*SQRT(Config!$B$13/U17),"")</f>
        <v>8.125</v>
      </c>
      <c r="AD17">
        <f>IFERROR((1/(2*PI()))*SQRT((1+AB17*Config!$B$12)/(Config!$B$14*0.000000001*L17*0.000000000001))/1000000,"")</f>
        <v>190.12578778472493</v>
      </c>
      <c r="AE17">
        <f>IFERROR((1/(2*PI()))*SQRT((1+AC17*Config!$B$12)/(Config!$B$14*0.000000001*M17*0.000000000001))/1000000,"")</f>
        <v>147.82959321035662</v>
      </c>
      <c r="AF17">
        <f>IFERROR((AB17*N17*Config!$B$12^2/L17)/(1+(2*PI()*AD17*1000000*N17*0.000000000001*Config!$B$12)^2),"")</f>
        <v>7.1207575400537255</v>
      </c>
      <c r="AG17">
        <f>IFERROR((AC17*O17*Config!$B$12^2/M17)/(1+(2*PI()*AE17*1000000*O17*0.000000000001*Config!$B$12)^2),"")</f>
        <v>5.0212655765315954</v>
      </c>
      <c r="AH17">
        <f>IF(AF17="","",MAX(0,Config!$B$16*AF17-V17-Config!$B$15))</f>
        <v>9.969060556075215</v>
      </c>
      <c r="AI17">
        <f>IF(AG17="","",MAX(0,Config!$B$16*AG17-W17-Config!$B$15))</f>
        <v>7.0297718071442334</v>
      </c>
      <c r="AJ17">
        <f>IF(AH17="","",IF(AH17&lt;=10,10,IF(AH17&gt;=10000,10000,IF(VLOOKUP(AH17,Notes!$F$2:$G$74,1,TRUE)=AH17,AH17,VLOOKUP(AH17,Notes!$F$2:$G$74,2,TRUE)))))</f>
        <v>10</v>
      </c>
      <c r="AK17">
        <f>IF(AI17="","",IF(AI17&lt;=10,10,IF(AI17&gt;=10000,10000,IF(VLOOKUP(AI17,Notes!$F$2:$G$74,1,TRUE)=AI17,AI17,VLOOKUP(AI17,Notes!$F$2:$G$74,2,TRUE)))))</f>
        <v>10</v>
      </c>
      <c r="AL17">
        <f t="shared" ref="AL17:AM22" si="27">IFERROR(1/(2*PI()*AJ17*L17*0.000000000001)/1000000,"")</f>
        <v>6.1213439650728976</v>
      </c>
      <c r="AM17">
        <f t="shared" si="27"/>
        <v>6.2413703173292285</v>
      </c>
      <c r="AN17">
        <f t="shared" ref="AN17:AN22" si="28">IF(OR(AL17="",AM17=""),"",MIN(AL17,AM17))</f>
        <v>6.1213439650728976</v>
      </c>
      <c r="AO17">
        <f t="shared" ref="AO17:AO22" si="29">IFERROR(1/(2*PI()*AN17*1000000*L17*0.000000000001),"")</f>
        <v>10.000000000000002</v>
      </c>
      <c r="AP17">
        <f t="shared" ref="AP17:AP22" si="30">IFERROR(1/(2*PI()*AN17*1000000*M17*0.000000000001),"")</f>
        <v>10.19607843137255</v>
      </c>
      <c r="AQ17">
        <f>IF(AO17="","",IF(MAX(AH17,AO17)&lt;=10,10,IF(MAX(AH17,AO17)&gt;=10000,10000,IF(VLOOKUP(MAX(AH17,AO17),Notes!$F$2:$G$74,1,TRUE)=MAX(AH17,AO17),MAX(AH17,AO17),VLOOKUP(MAX(AH17,AO17),Notes!$F$2:$G$74,2,TRUE)))))</f>
        <v>10</v>
      </c>
      <c r="AR17">
        <f>IF(AP17="","",IF(MAX(AI17,AP17)&lt;=10,10,IF(MAX(AI17,AP17)&gt;=10000,10000,IF(VLOOKUP(MAX(AI17,AP17),Notes!$F$2:$G$74,1,TRUE)=MAX(AI17,AP17),MAX(AI17,AP17),VLOOKUP(MAX(AI17,AP17),Notes!$F$2:$G$74,2,TRUE)))))</f>
        <v>11</v>
      </c>
      <c r="AS17">
        <f>IFERROR(P17+(L17-P17)/(1+AB17*Config!$B$12),"")</f>
        <v>82.819037606741077</v>
      </c>
      <c r="AT17">
        <f>IFERROR(Q17+(M17-Q17)/(1+AC17*Config!$B$12),"")</f>
        <v>146.96969696969697</v>
      </c>
      <c r="AU17">
        <f>IFERROR(MAX(0,MIN(TAN(RADIANS(Config!$B$21))/(2*PI()*Config!$B$20*1000*AS17*0.000000000001)-V17-Config!$B$15,SQRT(10^(Config!$B$22/10)-1)/(2*PI()*Config!$B$20*1000*AS17*0.000000000001)-V17-Config!$B$15)),"")</f>
        <v>1681.2865335108704</v>
      </c>
      <c r="AV17">
        <f>IFERROR(MAX(0,MIN(TAN(RADIANS(Config!$B$21))/(2*PI()*Config!$B$20*1000*AT17*0.000000000001)-W17-Config!$B$15,SQRT(10^(Config!$B$22/10)-1)/(2*PI()*Config!$B$20*1000*AT17*0.000000000001)-W17-Config!$B$15)),"")</f>
        <v>947.4234180074136</v>
      </c>
      <c r="AW17">
        <f>IF(AU17="","",IF(AU17&lt;10,"&lt;10",IF(AU17&gt;=10000,10000,VLOOKUP(AU17,Notes!$F$2:$G$74,1,TRUE))))</f>
        <v>1600</v>
      </c>
      <c r="AX17">
        <f>IF(AV17="","",IF(AV17&lt;10,"&lt;10",IF(AV17&gt;=10000,10000,VLOOKUP(AV17,Notes!$F$2:$G$74,1,TRUE))))</f>
        <v>910</v>
      </c>
      <c r="AY17">
        <f>IFERROR(IF((IF(Config!$B$8="R14",Config!$B$9,Config!$B$9*CC17/CB17))&lt;=10,10,IF((IF(Config!$B$8="R14",Config!$B$9,Config!$B$9*CC17/CB17))&gt;=10000,10000,IF(ABS((IF(Config!$B$8="R14",Config!$B$9,Config!$B$9*CC17/CB17))-VLOOKUP((IF(Config!$B$8="R14",Config!$B$9,Config!$B$9*CC17/CB17)),Notes!$F$2:$G$74,1,TRUE))&lt;=ABS(VLOOKUP((IF(Config!$B$8="R14",Config!$B$9,Config!$B$9*CC17/CB17)),Notes!$F$2:$G$74,2,TRUE)-(IF(Config!$B$8="R14",Config!$B$9,Config!$B$9*CC17/CB17))),VLOOKUP((IF(Config!$B$8="R14",Config!$B$9,Config!$B$9*CC17/CB17)),Notes!$F$2:$G$74,1,TRUE),VLOOKUP((IF(Config!$B$8="R14",Config!$B$9,Config!$B$9*CC17/CB17)),Notes!$F$2:$G$74,2,TRUE)))),"")</f>
        <v>100</v>
      </c>
      <c r="AZ17">
        <f>IFERROR(IF((IF(Config!$B$8="R15",Config!$B$9,Config!$B$9*CB17/CC17))&lt;=10,10,IF((IF(Config!$B$8="R15",Config!$B$9,Config!$B$9*CB17/CC17))&gt;=10000,10000,IF(ABS((IF(Config!$B$8="R15",Config!$B$9,Config!$B$9*CB17/CC17))-VLOOKUP((IF(Config!$B$8="R15",Config!$B$9,Config!$B$9*CB17/CC17)),Notes!$F$2:$G$74,1,TRUE))&lt;=ABS(VLOOKUP((IF(Config!$B$8="R15",Config!$B$9,Config!$B$9*CB17/CC17)),Notes!$F$2:$G$74,2,TRUE)-(IF(Config!$B$8="R15",Config!$B$9,Config!$B$9*CB17/CC17))),VLOOKUP((IF(Config!$B$8="R15",Config!$B$9,Config!$B$9*CB17/CC17)),Notes!$F$2:$G$74,1,TRUE),VLOOKUP((IF(Config!$B$8="R15",Config!$B$9,Config!$B$9*CB17/CC17)),Notes!$F$2:$G$74,2,TRUE)))),"")</f>
        <v>100</v>
      </c>
      <c r="BA17" t="str">
        <f>IF(OR(AW17="&lt;10",AX17="&lt;10"),"NO",IF(AND(AY17&gt;=AJ17,AY17&lt;=AW17,AZ17&gt;=AK17,AZ17&lt;=AX17,ABS(1/(AY17*L17)-1/(AZ17*M17))/MIN(1/(AY17*L17),1/(AZ17*M17))&lt;=Config!$B$19),"YES","NO"))</f>
        <v>YES</v>
      </c>
      <c r="BB17">
        <f t="shared" ref="BB17:BB22" si="31">IF(AND(D17="VALIDÉ / VALIDATED",E17&gt;0,F17&gt;0),E17,IF(BA17="YES",AY17,AQ17))</f>
        <v>100</v>
      </c>
      <c r="BC17">
        <f t="shared" ref="BC17:BC22" si="32">IF(AND(D17="VALIDÉ / VALIDATED",E17&gt;0,F17&gt;0),F17,IF(BA17="YES",AZ17,AR17))</f>
        <v>100</v>
      </c>
      <c r="BD17" t="str">
        <f t="shared" ref="BD17:BD22" si="33">IF(AND(D17="VALIDÉ / VALIDATED",E17&gt;0,F17&gt;0),_xlfn.CONCAT("TEST Q",17),IF(BA17="YES","CIBLE INITIALE","CALCUL THÉORIQUE INITIAL"))</f>
        <v>CIBLE INITIALE</v>
      </c>
      <c r="BE17">
        <f t="shared" ref="BE17:BE22" si="34">IFERROR(ABS(BB17*CB17-BC17*CC17)/MIN(BB17*CB17,BC17*CC17),"")</f>
        <v>0</v>
      </c>
      <c r="BF17" t="str">
        <f>IF(B17="","",IF(VLOOKUP(B17,MOSFET!$A$2:$Q$13,2,FALSE)&lt;&gt;"N","NON – canal",IF(H17&lt;2*Config!$B$11*Config!$B$17,"NON – Vdss",IF(J17&lt;Config!$B$13*Config!$B$18,"NON – Id",IF(L17&gt;Config!$B$23,"NON – Ciss",IF(OR(L17="",P17="",X17="",BQ17="",R17="",T17="",Z17=""),"DONNÉES À COMPLÉTER","OK"))))))</f>
        <v>OK</v>
      </c>
      <c r="BG17" t="str">
        <f>IF(C17="","",IF(VLOOKUP(C17,MOSFET!$A$2:$Q$13,2,FALSE)&lt;&gt;"P","NON – canal",IF(I17&lt;2*Config!$B$11*Config!$B$17,"NON – Vdss",IF(K17&lt;Config!$B$13*Config!$B$18,"NON – Id",IF(M17&gt;Config!$B$23,"NON – Ciss",IF(OR(M17="",Q17="",Y17="",BR17="",S17="",U17="",AA17=""),"DONNÉES À COMPLÉTER","OK"))))))</f>
        <v>OK</v>
      </c>
      <c r="BH17" t="str">
        <f t="shared" ref="BH17:BH22" si="35">IF(OR(BF17&lt;&gt;"OK",BG17&lt;&gt;"OK"),"NON – aptitude MOSFET",IF(AND(D17="VALIDÉ / VALIDATED",E17&gt;0,F17&gt;0),_xlfn.CONCAT("OUI – Q",17," confirmé"),IF(BO17&gt;=0.82,"OUI – paire prioritaire / test scope requis",IF(BO17&gt;=0.74,"OUI – paire acceptable / test scope requis","À ÉVALUER – compatibilité faible"))))</f>
        <v>OUI – paire acceptable / test scope requis</v>
      </c>
      <c r="BI17">
        <f>IFERROR((Config!$B$34*BY17+Config!$B$35*BZ17+Config!$B$36*CA17)/Config!$B$37,"")</f>
        <v>0.917606100795756</v>
      </c>
      <c r="BJ17">
        <f t="shared" ref="BJ17:BJ22" si="36">IFERROR(MIN(BQ17,BR17)/MAX(BQ17,BR17),"")</f>
        <v>0.66666666666666663</v>
      </c>
      <c r="BK17">
        <f t="shared" ref="BK17:BK22" si="37">IFERROR(MIN(X17,Y17)/MAX(X17,Y17),"")</f>
        <v>0.7407407407407407</v>
      </c>
      <c r="BL17">
        <f t="shared" ref="BL17:BL22" si="38">IFERROR(MIN(AB17,AC17)/MAX(AB17,AC17),"")</f>
        <v>0.58924545616615209</v>
      </c>
      <c r="BM17">
        <f t="shared" ref="BM17:BM22" si="39">IFERROR(MIN(P17,Q17)/MAX(P17,Q17),"")</f>
        <v>0.54545454545454541</v>
      </c>
      <c r="BN17">
        <f t="shared" ref="BN17:BN22" si="40">IFERROR(MIN(Z17,AA17)/MAX(Z17,AA17),"")</f>
        <v>0.78181818181818175</v>
      </c>
      <c r="BO17">
        <f>IFERROR((Config!$B$25*BI17+Config!$B$26*BJ17+Config!$B$27*BK17+Config!$B$28*BL17+Config!$B$29*BM17+Config!$B$30*BN17)/Config!$B$31,"")</f>
        <v>0.74084036583536683</v>
      </c>
      <c r="BP17">
        <f t="shared" ref="BP17:BP22" si="41">IF(OR(BF17&lt;&gt;"OK",BG17&lt;&gt;"OK"),1,IF(BO17&gt;=0.9,5,IF(BO17&gt;=0.82,4,IF(BO17&gt;=0.74,3,IF(BO17&gt;=0.66,2,1)))))</f>
        <v>3</v>
      </c>
      <c r="BQ17">
        <f>IFERROR(VLOOKUP($B17,MOSFET!$A$2:$Q$13,14,FALSE),"")</f>
        <v>28</v>
      </c>
      <c r="BR17">
        <f>IFERROR(VLOOKUP($C17,MOSFET!$A$2:$Q$13,14,FALSE),"")</f>
        <v>42</v>
      </c>
      <c r="BS17">
        <f t="shared" ref="BS17:BT22" si="42">IFERROR(P17+(L17-P17)*(1-0),"")</f>
        <v>2600</v>
      </c>
      <c r="BT17">
        <f t="shared" si="42"/>
        <v>2550</v>
      </c>
      <c r="BU17">
        <f t="shared" ref="BU17:BV22" si="43">IFERROR(P17+(L17-P17)*(1-0.5),"")</f>
        <v>1330</v>
      </c>
      <c r="BV17">
        <f t="shared" si="43"/>
        <v>1330</v>
      </c>
      <c r="BW17">
        <f t="shared" ref="BW17:BX22" si="44">IFERROR(P17+(L17-P17)*(1-0.95),"")</f>
        <v>187.00000000000011</v>
      </c>
      <c r="BX17">
        <f t="shared" si="44"/>
        <v>232.00000000000011</v>
      </c>
      <c r="BY17">
        <f t="shared" ref="BY17:BY22" si="45">IFERROR(MIN(BS17,BT17)/MAX(BS17,BT17),"")</f>
        <v>0.98076923076923073</v>
      </c>
      <c r="BZ17">
        <f t="shared" ref="BZ17:BZ22" si="46">IFERROR(MIN(BU17,BV17)/MAX(BU17,BV17),"")</f>
        <v>1</v>
      </c>
      <c r="CA17">
        <f t="shared" ref="CA17:CA22" si="47">IFERROR(MIN(BW17,BX17)/MAX(BW17,BX17),"")</f>
        <v>0.80603448275862077</v>
      </c>
      <c r="CB17">
        <f>IFERROR(P17+(L17-P17)*(1-Config!$B$39),"")</f>
        <v>1330</v>
      </c>
      <c r="CC17">
        <f>IFERROR(Q17+(M17-Q17)*(1-Config!$B$39),"")</f>
        <v>1330</v>
      </c>
      <c r="CD17" t="str">
        <f>IF(OR(BF17&lt;&gt;"OK",BG17&lt;&gt;"OK"),"X – INADAPTÉ",IF(AND(BI17&gt;=Config!$B$42,CE17&gt;=Config!$B$43,CF17=0),"A – TRÈS BON CANDIDAT",IF(AND(BI17&gt;=Config!$B$44,CE17&gt;=Config!$B$45,CF17=0),"B – BON CANDIDAT","C – À ÉTUDIER")))</f>
        <v>A – TRÈS BON CANDIDAT</v>
      </c>
      <c r="CE17">
        <f t="shared" ref="CE17:CE22" si="48">IFERROR(MIN(AY17,AZ17)/MAX(AY17,AZ17),"")</f>
        <v>1</v>
      </c>
      <c r="CF17">
        <f>--(BJ17&lt;Config!$B$46)+--(BK17&lt;Config!$B$47)+--(BL17&lt;Config!$B$47)+--(BM17&lt;Config!$B$47)+--(BN17&lt;Config!$B$48)</f>
        <v>0</v>
      </c>
      <c r="CG17" t="str">
        <f>IF(CF17=0,"Aucune",IF(BJ17&lt;Config!$B$46,"Qgd; ","")&amp;IF(BK17&lt;Config!$B$47,"Qg; ","")&amp;IF(BL17&lt;Config!$B$47,"gm; ","")&amp;IF(BM17&lt;Config!$B$47,"Crss; ","")&amp;IF(BN17&lt;Config!$B$48,"VGS; ",""))</f>
        <v>Aucune</v>
      </c>
      <c r="CH17" t="str">
        <f t="shared" ref="CH17:CH22" si="49">IF(D17="VALIDÉ / VALIDATED",IF(AND(E17&gt;0,F17&gt;0),"VALIDÉ R14/R15","VALIDATION INCOMPLÈTE"),IF(D17="TESTÉ – À ÉVALUER / TESTED – TO REVIEW","TESTÉ – À ÉVALUER",IF(D17="REJETÉ / REJECTED","REJETÉ","NON TESTÉ")))</f>
        <v>NON TESTÉ</v>
      </c>
    </row>
    <row r="18" spans="1:86">
      <c r="A18" t="s">
        <v>73</v>
      </c>
      <c r="B18" t="s">
        <v>71</v>
      </c>
      <c r="C18" t="s">
        <v>44</v>
      </c>
      <c r="D18" t="str">
        <f>IFERROR(VLOOKUP(A18,Selection!$A$17:$I$34,4,FALSE),"NON TESTÉ / NOT TESTED")</f>
        <v>NON TESTÉ / NOT TESTED</v>
      </c>
      <c r="E18">
        <f>IFERROR(VLOOKUP(A18,Selection!$A$17:$I$34,5,FALSE),"")</f>
        <v>0</v>
      </c>
      <c r="F18">
        <f>IFERROR(VLOOKUP(A18,Selection!$A$17:$I$34,6,FALSE),"")</f>
        <v>0</v>
      </c>
      <c r="G18" t="str">
        <f>IF(Config!$B$3="FR",IFERROR(T(VLOOKUP(A18,Selection!$A$17:$I$34,7,FALSE)),""),IF(IFERROR(T(VLOOKUP(A18,Selection!$A$17:$I$34,8,FALSE)),"")&lt;&gt;"",IFERROR(T(VLOOKUP(A18,Selection!$A$17:$I$34,8,FALSE)),""),IFERROR(T(VLOOKUP(A18,Selection!$A$17:$I$34,7,FALSE)),"")))</f>
        <v>Combination to validate on Q17.</v>
      </c>
      <c r="H18">
        <f>IFERROR(VLOOKUP($B18,MOSFET!$A$2:$Q$13,5,FALSE),"")</f>
        <v>300</v>
      </c>
      <c r="I18">
        <f>IFERROR(VLOOKUP($C18,MOSFET!$A$2:$Q$13,5,FALSE),"")</f>
        <v>150</v>
      </c>
      <c r="J18">
        <f>IFERROR(VLOOKUP($B18,MOSFET!$A$2:$Q$13,6,FALSE),"")</f>
        <v>38</v>
      </c>
      <c r="K18">
        <f>IFERROR(VLOOKUP($C18,MOSFET!$A$2:$Q$13,6,FALSE),"")</f>
        <v>36</v>
      </c>
      <c r="L18">
        <f>IFERROR(VLOOKUP($B18,MOSFET!$A$2:$Q$13,7,FALSE),"")</f>
        <v>2600</v>
      </c>
      <c r="M18">
        <f>IFERROR(VLOOKUP($C18,MOSFET!$A$2:$Q$13,7,FALSE),"")</f>
        <v>3100</v>
      </c>
      <c r="N18">
        <f>IFERROR(VLOOKUP($B18,MOSFET!$A$2:$Q$13,8,FALSE),"")</f>
        <v>500</v>
      </c>
      <c r="O18">
        <f>IFERROR(VLOOKUP($C18,MOSFET!$A$2:$Q$13,8,FALSE),"")</f>
        <v>610</v>
      </c>
      <c r="P18">
        <f>IFERROR(VLOOKUP($B18,MOSFET!$A$2:$Q$13,9,FALSE),"")</f>
        <v>60</v>
      </c>
      <c r="Q18">
        <f>IFERROR(VLOOKUP($C18,MOSFET!$A$2:$Q$13,9,FALSE),"")</f>
        <v>100</v>
      </c>
      <c r="R18">
        <f>IFERROR(VLOOKUP($B18,MOSFET!$A$2:$Q$13,10,FALSE),"")</f>
        <v>34</v>
      </c>
      <c r="S18">
        <f>IFERROR(VLOOKUP($C18,MOSFET!$A$2:$Q$13,10,FALSE),"")</f>
        <v>19</v>
      </c>
      <c r="T18">
        <f>IFERROR(VLOOKUP($B18,MOSFET!$A$2:$Q$13,11,FALSE),"")</f>
        <v>19</v>
      </c>
      <c r="U18">
        <f>IFERROR(VLOOKUP($C18,MOSFET!$A$2:$Q$13,11,FALSE),"")</f>
        <v>18</v>
      </c>
      <c r="V18">
        <f>IFERROR(VLOOKUP($B18,MOSFET!$A$2:$Q$13,12,FALSE),0)</f>
        <v>0</v>
      </c>
      <c r="W18">
        <f>IFERROR(VLOOKUP($C18,MOSFET!$A$2:$Q$13,12,FALSE),0)</f>
        <v>0</v>
      </c>
      <c r="X18">
        <f>IFERROR(VLOOKUP($B18,MOSFET!$A$2:$Q$13,13,FALSE),"")</f>
        <v>60</v>
      </c>
      <c r="Y18">
        <f>IFERROR(VLOOKUP($C18,MOSFET!$A$2:$Q$13,13,FALSE),"")</f>
        <v>55</v>
      </c>
      <c r="Z18">
        <f>IFERROR(VLOOKUP($B18,MOSFET!$A$2:$Q$13,16,FALSE),"")</f>
        <v>5.5</v>
      </c>
      <c r="AA18">
        <f>IFERROR(VLOOKUP($C18,MOSFET!$A$2:$Q$13,16,FALSE),"")</f>
        <v>4.8</v>
      </c>
      <c r="AB18">
        <f>IFERROR(R18*SQRT(Config!$B$13/T18),"")</f>
        <v>13.788820796114816</v>
      </c>
      <c r="AC18">
        <f>IFERROR(S18*SQRT(Config!$B$13/U18),"")</f>
        <v>7.916666666666667</v>
      </c>
      <c r="AD18">
        <f>IFERROR((1/(2*PI()))*SQRT((1+AB18*Config!$B$12)/(Config!$B$14*0.000000001*L18*0.000000000001))/1000000,"")</f>
        <v>190.12578778472493</v>
      </c>
      <c r="AE18">
        <f>IFERROR((1/(2*PI()))*SQRT((1+AC18*Config!$B$12)/(Config!$B$14*0.000000001*M18*0.000000000001))/1000000,"")</f>
        <v>132.37216881932235</v>
      </c>
      <c r="AF18">
        <f>IFERROR((AB18*N18*Config!$B$12^2/L18)/(1+(2*PI()*AD18*1000000*N18*0.000000000001*Config!$B$12)^2),"")</f>
        <v>7.1207575400537255</v>
      </c>
      <c r="AG18">
        <f>IFERROR((AC18*O18*Config!$B$12^2/M18)/(1+(2*PI()*AE18*1000000*O18*0.000000000001*Config!$B$12)^2),"")</f>
        <v>5.7056364205032697</v>
      </c>
      <c r="AH18">
        <f>IF(AF18="","",MAX(0,Config!$B$16*AF18-V18-Config!$B$15))</f>
        <v>9.969060556075215</v>
      </c>
      <c r="AI18">
        <f>IF(AG18="","",MAX(0,Config!$B$16*AG18-W18-Config!$B$15))</f>
        <v>7.987890988704577</v>
      </c>
      <c r="AJ18">
        <f>IF(AH18="","",IF(AH18&lt;=10,10,IF(AH18&gt;=10000,10000,IF(VLOOKUP(AH18,Notes!$F$2:$G$74,1,TRUE)=AH18,AH18,VLOOKUP(AH18,Notes!$F$2:$G$74,2,TRUE)))))</f>
        <v>10</v>
      </c>
      <c r="AK18">
        <f>IF(AI18="","",IF(AI18&lt;=10,10,IF(AI18&gt;=10000,10000,IF(VLOOKUP(AI18,Notes!$F$2:$G$74,1,TRUE)=AI18,AI18,VLOOKUP(AI18,Notes!$F$2:$G$74,2,TRUE)))))</f>
        <v>10</v>
      </c>
      <c r="AL18">
        <f t="shared" si="27"/>
        <v>6.1213439650728976</v>
      </c>
      <c r="AM18">
        <f t="shared" si="27"/>
        <v>5.1340304223192055</v>
      </c>
      <c r="AN18">
        <f t="shared" si="28"/>
        <v>5.1340304223192055</v>
      </c>
      <c r="AO18">
        <f t="shared" si="29"/>
        <v>11.92307692307692</v>
      </c>
      <c r="AP18">
        <f t="shared" si="30"/>
        <v>9.9999999999999982</v>
      </c>
      <c r="AQ18">
        <f>IF(AO18="","",IF(MAX(AH18,AO18)&lt;=10,10,IF(MAX(AH18,AO18)&gt;=10000,10000,IF(VLOOKUP(MAX(AH18,AO18),Notes!$F$2:$G$74,1,TRUE)=MAX(AH18,AO18),MAX(AH18,AO18),VLOOKUP(MAX(AH18,AO18),Notes!$F$2:$G$74,2,TRUE)))))</f>
        <v>12</v>
      </c>
      <c r="AR18">
        <f>IF(AP18="","",IF(MAX(AI18,AP18)&lt;=10,10,IF(MAX(AI18,AP18)&gt;=10000,10000,IF(VLOOKUP(MAX(AI18,AP18),Notes!$F$2:$G$74,1,TRUE)=MAX(AI18,AP18),MAX(AI18,AP18),VLOOKUP(MAX(AI18,AP18),Notes!$F$2:$G$74,2,TRUE)))))</f>
        <v>10</v>
      </c>
      <c r="AS18">
        <f>IFERROR(P18+(L18-P18)/(1+AB18*Config!$B$12),"")</f>
        <v>82.819037606741077</v>
      </c>
      <c r="AT18">
        <f>IFERROR(Q18+(M18-Q18)/(1+AC18*Config!$B$12),"")</f>
        <v>146.6321243523316</v>
      </c>
      <c r="AU18">
        <f>IFERROR(MAX(0,MIN(TAN(RADIANS(Config!$B$21))/(2*PI()*Config!$B$20*1000*AS18*0.000000000001)-V18-Config!$B$15,SQRT(10^(Config!$B$22/10)-1)/(2*PI()*Config!$B$20*1000*AS18*0.000000000001)-V18-Config!$B$15)),"")</f>
        <v>1681.2865335108704</v>
      </c>
      <c r="AV18">
        <f>IFERROR(MAX(0,MIN(TAN(RADIANS(Config!$B$21))/(2*PI()*Config!$B$20*1000*AT18*0.000000000001)-W18-Config!$B$15,SQRT(10^(Config!$B$22/10)-1)/(2*PI()*Config!$B$20*1000*AT18*0.000000000001)-W18-Config!$B$15)),"")</f>
        <v>949.60455126441752</v>
      </c>
      <c r="AW18">
        <f>IF(AU18="","",IF(AU18&lt;10,"&lt;10",IF(AU18&gt;=10000,10000,VLOOKUP(AU18,Notes!$F$2:$G$74,1,TRUE))))</f>
        <v>1600</v>
      </c>
      <c r="AX18">
        <f>IF(AV18="","",IF(AV18&lt;10,"&lt;10",IF(AV18&gt;=10000,10000,VLOOKUP(AV18,Notes!$F$2:$G$74,1,TRUE))))</f>
        <v>910</v>
      </c>
      <c r="AY18">
        <f>IFERROR(IF((IF(Config!$B$8="R14",Config!$B$9,Config!$B$9*CC18/CB18))&lt;=10,10,IF((IF(Config!$B$8="R14",Config!$B$9,Config!$B$9*CC18/CB18))&gt;=10000,10000,IF(ABS((IF(Config!$B$8="R14",Config!$B$9,Config!$B$9*CC18/CB18))-VLOOKUP((IF(Config!$B$8="R14",Config!$B$9,Config!$B$9*CC18/CB18)),Notes!$F$2:$G$74,1,TRUE))&lt;=ABS(VLOOKUP((IF(Config!$B$8="R14",Config!$B$9,Config!$B$9*CC18/CB18)),Notes!$F$2:$G$74,2,TRUE)-(IF(Config!$B$8="R14",Config!$B$9,Config!$B$9*CC18/CB18))),VLOOKUP((IF(Config!$B$8="R14",Config!$B$9,Config!$B$9*CC18/CB18)),Notes!$F$2:$G$74,1,TRUE),VLOOKUP((IF(Config!$B$8="R14",Config!$B$9,Config!$B$9*CC18/CB18)),Notes!$F$2:$G$74,2,TRUE)))),"")</f>
        <v>100</v>
      </c>
      <c r="AZ18">
        <f>IFERROR(IF((IF(Config!$B$8="R15",Config!$B$9,Config!$B$9*CB18/CC18))&lt;=10,10,IF((IF(Config!$B$8="R15",Config!$B$9,Config!$B$9*CB18/CC18))&gt;=10000,10000,IF(ABS((IF(Config!$B$8="R15",Config!$B$9,Config!$B$9*CB18/CC18))-VLOOKUP((IF(Config!$B$8="R15",Config!$B$9,Config!$B$9*CB18/CC18)),Notes!$F$2:$G$74,1,TRUE))&lt;=ABS(VLOOKUP((IF(Config!$B$8="R15",Config!$B$9,Config!$B$9*CB18/CC18)),Notes!$F$2:$G$74,2,TRUE)-(IF(Config!$B$8="R15",Config!$B$9,Config!$B$9*CB18/CC18))),VLOOKUP((IF(Config!$B$8="R15",Config!$B$9,Config!$B$9*CB18/CC18)),Notes!$F$2:$G$74,1,TRUE),VLOOKUP((IF(Config!$B$8="R15",Config!$B$9,Config!$B$9*CB18/CC18)),Notes!$F$2:$G$74,2,TRUE)))),"")</f>
        <v>82</v>
      </c>
      <c r="BA18" t="str">
        <f>IF(OR(AW18="&lt;10",AX18="&lt;10"),"NO",IF(AND(AY18&gt;=AJ18,AY18&lt;=AW18,AZ18&gt;=AK18,AZ18&lt;=AX18,ABS(1/(AY18*L18)-1/(AZ18*M18))/MIN(1/(AY18*L18),1/(AZ18*M18))&lt;=Config!$B$19),"YES","NO"))</f>
        <v>YES</v>
      </c>
      <c r="BB18">
        <f t="shared" si="31"/>
        <v>100</v>
      </c>
      <c r="BC18">
        <f t="shared" si="32"/>
        <v>82</v>
      </c>
      <c r="BD18" t="str">
        <f t="shared" si="33"/>
        <v>CIBLE INITIALE</v>
      </c>
      <c r="BE18">
        <f t="shared" si="34"/>
        <v>1.3719512195121951E-2</v>
      </c>
      <c r="BF18" t="str">
        <f>IF(B18="","",IF(VLOOKUP(B18,MOSFET!$A$2:$Q$13,2,FALSE)&lt;&gt;"N","NON – canal",IF(H18&lt;2*Config!$B$11*Config!$B$17,"NON – Vdss",IF(J18&lt;Config!$B$13*Config!$B$18,"NON – Id",IF(L18&gt;Config!$B$23,"NON – Ciss",IF(OR(L18="",P18="",X18="",BQ18="",R18="",T18="",Z18=""),"DONNÉES À COMPLÉTER","OK"))))))</f>
        <v>OK</v>
      </c>
      <c r="BG18" t="str">
        <f>IF(C18="","",IF(VLOOKUP(C18,MOSFET!$A$2:$Q$13,2,FALSE)&lt;&gt;"P","NON – canal",IF(I18&lt;2*Config!$B$11*Config!$B$17,"NON – Vdss",IF(K18&lt;Config!$B$13*Config!$B$18,"NON – Id",IF(M18&gt;Config!$B$23,"NON – Ciss",IF(OR(M18="",Q18="",Y18="",BR18="",S18="",U18="",AA18=""),"DONNÉES À COMPLÉTER","OK"))))))</f>
        <v>OK</v>
      </c>
      <c r="BH18" t="str">
        <f t="shared" si="35"/>
        <v>À ÉVALUER – compatibilité faible</v>
      </c>
      <c r="BI18">
        <f>IFERROR((Config!$B$34*BY18+Config!$B$35*BZ18+Config!$B$36*CA18)/Config!$B$37,"")</f>
        <v>0.79981491935483873</v>
      </c>
      <c r="BJ18">
        <f t="shared" si="36"/>
        <v>0.6428571428571429</v>
      </c>
      <c r="BK18">
        <f t="shared" si="37"/>
        <v>0.91666666666666663</v>
      </c>
      <c r="BL18">
        <f t="shared" si="38"/>
        <v>0.57413659831573804</v>
      </c>
      <c r="BM18">
        <f t="shared" si="39"/>
        <v>0.6</v>
      </c>
      <c r="BN18">
        <f t="shared" si="40"/>
        <v>0.87272727272727268</v>
      </c>
      <c r="BO18">
        <f>IFERROR((Config!$B$25*BI18+Config!$B$26*BJ18+Config!$B$27*BK18+Config!$B$28*BL18+Config!$B$29*BM18+Config!$B$30*BN18)/Config!$B$31,"")</f>
        <v>0.73940912139796822</v>
      </c>
      <c r="BP18">
        <f t="shared" si="41"/>
        <v>2</v>
      </c>
      <c r="BQ18">
        <f>IFERROR(VLOOKUP($B18,MOSFET!$A$2:$Q$13,14,FALSE),"")</f>
        <v>28</v>
      </c>
      <c r="BR18">
        <f>IFERROR(VLOOKUP($C18,MOSFET!$A$2:$Q$13,14,FALSE),"")</f>
        <v>18</v>
      </c>
      <c r="BS18">
        <f t="shared" si="42"/>
        <v>2600</v>
      </c>
      <c r="BT18">
        <f t="shared" si="42"/>
        <v>3100</v>
      </c>
      <c r="BU18">
        <f t="shared" si="43"/>
        <v>1330</v>
      </c>
      <c r="BV18">
        <f t="shared" si="43"/>
        <v>1600</v>
      </c>
      <c r="BW18">
        <f t="shared" si="44"/>
        <v>187.00000000000011</v>
      </c>
      <c r="BX18">
        <f t="shared" si="44"/>
        <v>250.00000000000014</v>
      </c>
      <c r="BY18">
        <f t="shared" si="45"/>
        <v>0.83870967741935487</v>
      </c>
      <c r="BZ18">
        <f t="shared" si="46"/>
        <v>0.83125000000000004</v>
      </c>
      <c r="CA18">
        <f t="shared" si="47"/>
        <v>0.748</v>
      </c>
      <c r="CB18">
        <f>IFERROR(P18+(L18-P18)*(1-Config!$B$39),"")</f>
        <v>1330</v>
      </c>
      <c r="CC18">
        <f>IFERROR(Q18+(M18-Q18)*(1-Config!$B$39),"")</f>
        <v>1600</v>
      </c>
      <c r="CD18" t="str">
        <f>IF(OR(BF18&lt;&gt;"OK",BG18&lt;&gt;"OK"),"X – INADAPTÉ",IF(AND(BI18&gt;=Config!$B$42,CE18&gt;=Config!$B$43,CF18=0),"A – TRÈS BON CANDIDAT",IF(AND(BI18&gt;=Config!$B$44,CE18&gt;=Config!$B$45,CF18=0),"B – BON CANDIDAT","C – À ÉTUDIER")))</f>
        <v>B – BON CANDIDAT</v>
      </c>
      <c r="CE18">
        <f t="shared" si="48"/>
        <v>0.82</v>
      </c>
      <c r="CF18">
        <f>--(BJ18&lt;Config!$B$46)+--(BK18&lt;Config!$B$47)+--(BL18&lt;Config!$B$47)+--(BM18&lt;Config!$B$47)+--(BN18&lt;Config!$B$48)</f>
        <v>0</v>
      </c>
      <c r="CG18" t="str">
        <f>IF(CF18=0,"Aucune",IF(BJ18&lt;Config!$B$46,"Qgd; ","")&amp;IF(BK18&lt;Config!$B$47,"Qg; ","")&amp;IF(BL18&lt;Config!$B$47,"gm; ","")&amp;IF(BM18&lt;Config!$B$47,"Crss; ","")&amp;IF(BN18&lt;Config!$B$48,"VGS; ",""))</f>
        <v>Aucune</v>
      </c>
      <c r="CH18" t="str">
        <f t="shared" si="49"/>
        <v>NON TESTÉ</v>
      </c>
    </row>
    <row r="19" spans="1:86">
      <c r="A19" t="s">
        <v>75</v>
      </c>
      <c r="B19" t="s">
        <v>71</v>
      </c>
      <c r="C19" t="s">
        <v>57</v>
      </c>
      <c r="D19" t="str">
        <f>IFERROR(VLOOKUP(A19,Selection!$A$17:$I$34,4,FALSE),"NON TESTÉ / NOT TESTED")</f>
        <v>NON TESTÉ / NOT TESTED</v>
      </c>
      <c r="E19">
        <f>IFERROR(VLOOKUP(A19,Selection!$A$17:$I$34,5,FALSE),"")</f>
        <v>0</v>
      </c>
      <c r="F19">
        <f>IFERROR(VLOOKUP(A19,Selection!$A$17:$I$34,6,FALSE),"")</f>
        <v>0</v>
      </c>
      <c r="G19" t="str">
        <f>IF(Config!$B$3="FR",IFERROR(T(VLOOKUP(A19,Selection!$A$17:$I$34,7,FALSE)),""),IF(IFERROR(T(VLOOKUP(A19,Selection!$A$17:$I$34,8,FALSE)),"")&lt;&gt;"",IFERROR(T(VLOOKUP(A19,Selection!$A$17:$I$34,8,FALSE)),""),IFERROR(T(VLOOKUP(A19,Selection!$A$17:$I$34,7,FALSE)),"")))</f>
        <v>Combination to validate on Q17.</v>
      </c>
      <c r="H19">
        <f>IFERROR(VLOOKUP($B19,MOSFET!$A$2:$Q$13,5,FALSE),"")</f>
        <v>300</v>
      </c>
      <c r="I19">
        <f>IFERROR(VLOOKUP($C19,MOSFET!$A$2:$Q$13,5,FALSE),"")</f>
        <v>200</v>
      </c>
      <c r="J19">
        <f>IFERROR(VLOOKUP($B19,MOSFET!$A$2:$Q$13,6,FALSE),"")</f>
        <v>38</v>
      </c>
      <c r="K19">
        <f>IFERROR(VLOOKUP($C19,MOSFET!$A$2:$Q$13,6,FALSE),"")</f>
        <v>26</v>
      </c>
      <c r="L19">
        <f>IFERROR(VLOOKUP($B19,MOSFET!$A$2:$Q$13,7,FALSE),"")</f>
        <v>2600</v>
      </c>
      <c r="M19">
        <f>IFERROR(VLOOKUP($C19,MOSFET!$A$2:$Q$13,7,FALSE),"")</f>
        <v>2740</v>
      </c>
      <c r="N19">
        <f>IFERROR(VLOOKUP($B19,MOSFET!$A$2:$Q$13,8,FALSE),"")</f>
        <v>500</v>
      </c>
      <c r="O19">
        <f>IFERROR(VLOOKUP($C19,MOSFET!$A$2:$Q$13,8,FALSE),"")</f>
        <v>540</v>
      </c>
      <c r="P19">
        <f>IFERROR(VLOOKUP($B19,MOSFET!$A$2:$Q$13,9,FALSE),"")</f>
        <v>60</v>
      </c>
      <c r="Q19">
        <f>IFERROR(VLOOKUP($C19,MOSFET!$A$2:$Q$13,9,FALSE),"")</f>
        <v>100</v>
      </c>
      <c r="R19">
        <f>IFERROR(VLOOKUP($B19,MOSFET!$A$2:$Q$13,10,FALSE),"")</f>
        <v>34</v>
      </c>
      <c r="S19">
        <f>IFERROR(VLOOKUP($C19,MOSFET!$A$2:$Q$13,10,FALSE),"")</f>
        <v>17</v>
      </c>
      <c r="T19">
        <f>IFERROR(VLOOKUP($B19,MOSFET!$A$2:$Q$13,11,FALSE),"")</f>
        <v>19</v>
      </c>
      <c r="U19">
        <f>IFERROR(VLOOKUP($C19,MOSFET!$A$2:$Q$13,11,FALSE),"")</f>
        <v>13</v>
      </c>
      <c r="V19">
        <f>IFERROR(VLOOKUP($B19,MOSFET!$A$2:$Q$13,12,FALSE),0)</f>
        <v>0</v>
      </c>
      <c r="W19">
        <f>IFERROR(VLOOKUP($C19,MOSFET!$A$2:$Q$13,12,FALSE),0)</f>
        <v>0</v>
      </c>
      <c r="X19">
        <f>IFERROR(VLOOKUP($B19,MOSFET!$A$2:$Q$13,13,FALSE),"")</f>
        <v>60</v>
      </c>
      <c r="Y19">
        <f>IFERROR(VLOOKUP($C19,MOSFET!$A$2:$Q$13,13,FALSE),"")</f>
        <v>56</v>
      </c>
      <c r="Z19">
        <f>IFERROR(VLOOKUP($B19,MOSFET!$A$2:$Q$13,16,FALSE),"")</f>
        <v>5.5</v>
      </c>
      <c r="AA19">
        <f>IFERROR(VLOOKUP($C19,MOSFET!$A$2:$Q$13,16,FALSE),"")</f>
        <v>4.4000000000000004</v>
      </c>
      <c r="AB19">
        <f>IFERROR(R19*SQRT(Config!$B$13/T19),"")</f>
        <v>13.788820796114816</v>
      </c>
      <c r="AC19">
        <f>IFERROR(S19*SQRT(Config!$B$13/U19),"")</f>
        <v>8.3349357433728226</v>
      </c>
      <c r="AD19">
        <f>IFERROR((1/(2*PI()))*SQRT((1+AB19*Config!$B$12)/(Config!$B$14*0.000000001*L19*0.000000000001))/1000000,"")</f>
        <v>190.12578778472493</v>
      </c>
      <c r="AE19">
        <f>IFERROR((1/(2*PI()))*SQRT((1+AC19*Config!$B$12)/(Config!$B$14*0.000000001*M19*0.000000000001))/1000000,"")</f>
        <v>144.41514763887656</v>
      </c>
      <c r="AF19">
        <f>IFERROR((AB19*N19*Config!$B$12^2/L19)/(1+(2*PI()*AD19*1000000*N19*0.000000000001*Config!$B$12)^2),"")</f>
        <v>7.1207575400537255</v>
      </c>
      <c r="AG19">
        <f>IFERROR((AC19*O19*Config!$B$12^2/M19)/(1+(2*PI()*AE19*1000000*O19*0.000000000001*Config!$B$12)^2),"")</f>
        <v>6.4237774505538843</v>
      </c>
      <c r="AH19">
        <f>IF(AF19="","",MAX(0,Config!$B$16*AF19-V19-Config!$B$15))</f>
        <v>9.969060556075215</v>
      </c>
      <c r="AI19">
        <f>IF(AG19="","",MAX(0,Config!$B$16*AG19-W19-Config!$B$15))</f>
        <v>8.9932884307754382</v>
      </c>
      <c r="AJ19">
        <f>IF(AH19="","",IF(AH19&lt;=10,10,IF(AH19&gt;=10000,10000,IF(VLOOKUP(AH19,Notes!$F$2:$G$74,1,TRUE)=AH19,AH19,VLOOKUP(AH19,Notes!$F$2:$G$74,2,TRUE)))))</f>
        <v>10</v>
      </c>
      <c r="AK19">
        <f>IF(AI19="","",IF(AI19&lt;=10,10,IF(AI19&gt;=10000,10000,IF(VLOOKUP(AI19,Notes!$F$2:$G$74,1,TRUE)=AI19,AI19,VLOOKUP(AI19,Notes!$F$2:$G$74,2,TRUE)))))</f>
        <v>10</v>
      </c>
      <c r="AL19">
        <f t="shared" si="27"/>
        <v>6.1213439650728976</v>
      </c>
      <c r="AM19">
        <f t="shared" si="27"/>
        <v>5.8085745653976399</v>
      </c>
      <c r="AN19">
        <f t="shared" si="28"/>
        <v>5.8085745653976399</v>
      </c>
      <c r="AO19">
        <f t="shared" si="29"/>
        <v>10.538461538461538</v>
      </c>
      <c r="AP19">
        <f t="shared" si="30"/>
        <v>10</v>
      </c>
      <c r="AQ19">
        <f>IF(AO19="","",IF(MAX(AH19,AO19)&lt;=10,10,IF(MAX(AH19,AO19)&gt;=10000,10000,IF(VLOOKUP(MAX(AH19,AO19),Notes!$F$2:$G$74,1,TRUE)=MAX(AH19,AO19),MAX(AH19,AO19),VLOOKUP(MAX(AH19,AO19),Notes!$F$2:$G$74,2,TRUE)))))</f>
        <v>11</v>
      </c>
      <c r="AR19">
        <f>IF(AP19="","",IF(MAX(AI19,AP19)&lt;=10,10,IF(MAX(AI19,AP19)&gt;=10000,10000,IF(VLOOKUP(MAX(AI19,AP19),Notes!$F$2:$G$74,1,TRUE)=MAX(AI19,AP19),MAX(AI19,AP19),VLOOKUP(MAX(AI19,AP19),Notes!$F$2:$G$74,2,TRUE)))))</f>
        <v>10</v>
      </c>
      <c r="AS19">
        <f>IFERROR(P19+(L19-P19)/(1+AB19*Config!$B$12),"")</f>
        <v>82.819037606741077</v>
      </c>
      <c r="AT19">
        <f>IFERROR(Q19+(M19-Q19)/(1+AC19*Config!$B$12),"")</f>
        <v>139.00738847319366</v>
      </c>
      <c r="AU19">
        <f>IFERROR(MAX(0,MIN(TAN(RADIANS(Config!$B$21))/(2*PI()*Config!$B$20*1000*AS19*0.000000000001)-V19-Config!$B$15,SQRT(10^(Config!$B$22/10)-1)/(2*PI()*Config!$B$20*1000*AS19*0.000000000001)-V19-Config!$B$15)),"")</f>
        <v>1681.2865335108704</v>
      </c>
      <c r="AV19">
        <f>IFERROR(MAX(0,MIN(TAN(RADIANS(Config!$B$21))/(2*PI()*Config!$B$20*1000*AT19*0.000000000001)-W19-Config!$B$15,SQRT(10^(Config!$B$22/10)-1)/(2*PI()*Config!$B$20*1000*AT19*0.000000000001)-W19-Config!$B$15)),"")</f>
        <v>1001.691594784516</v>
      </c>
      <c r="AW19">
        <f>IF(AU19="","",IF(AU19&lt;10,"&lt;10",IF(AU19&gt;=10000,10000,VLOOKUP(AU19,Notes!$F$2:$G$74,1,TRUE))))</f>
        <v>1600</v>
      </c>
      <c r="AX19">
        <f>IF(AV19="","",IF(AV19&lt;10,"&lt;10",IF(AV19&gt;=10000,10000,VLOOKUP(AV19,Notes!$F$2:$G$74,1,TRUE))))</f>
        <v>1000</v>
      </c>
      <c r="AY19">
        <f>IFERROR(IF((IF(Config!$B$8="R14",Config!$B$9,Config!$B$9*CC19/CB19))&lt;=10,10,IF((IF(Config!$B$8="R14",Config!$B$9,Config!$B$9*CC19/CB19))&gt;=10000,10000,IF(ABS((IF(Config!$B$8="R14",Config!$B$9,Config!$B$9*CC19/CB19))-VLOOKUP((IF(Config!$B$8="R14",Config!$B$9,Config!$B$9*CC19/CB19)),Notes!$F$2:$G$74,1,TRUE))&lt;=ABS(VLOOKUP((IF(Config!$B$8="R14",Config!$B$9,Config!$B$9*CC19/CB19)),Notes!$F$2:$G$74,2,TRUE)-(IF(Config!$B$8="R14",Config!$B$9,Config!$B$9*CC19/CB19))),VLOOKUP((IF(Config!$B$8="R14",Config!$B$9,Config!$B$9*CC19/CB19)),Notes!$F$2:$G$74,1,TRUE),VLOOKUP((IF(Config!$B$8="R14",Config!$B$9,Config!$B$9*CC19/CB19)),Notes!$F$2:$G$74,2,TRUE)))),"")</f>
        <v>100</v>
      </c>
      <c r="AZ19">
        <f>IFERROR(IF((IF(Config!$B$8="R15",Config!$B$9,Config!$B$9*CB19/CC19))&lt;=10,10,IF((IF(Config!$B$8="R15",Config!$B$9,Config!$B$9*CB19/CC19))&gt;=10000,10000,IF(ABS((IF(Config!$B$8="R15",Config!$B$9,Config!$B$9*CB19/CC19))-VLOOKUP((IF(Config!$B$8="R15",Config!$B$9,Config!$B$9*CB19/CC19)),Notes!$F$2:$G$74,1,TRUE))&lt;=ABS(VLOOKUP((IF(Config!$B$8="R15",Config!$B$9,Config!$B$9*CB19/CC19)),Notes!$F$2:$G$74,2,TRUE)-(IF(Config!$B$8="R15",Config!$B$9,Config!$B$9*CB19/CC19))),VLOOKUP((IF(Config!$B$8="R15",Config!$B$9,Config!$B$9*CB19/CC19)),Notes!$F$2:$G$74,1,TRUE),VLOOKUP((IF(Config!$B$8="R15",Config!$B$9,Config!$B$9*CB19/CC19)),Notes!$F$2:$G$74,2,TRUE)))),"")</f>
        <v>91</v>
      </c>
      <c r="BA19" t="str">
        <f>IF(OR(AW19="&lt;10",AX19="&lt;10"),"NO",IF(AND(AY19&gt;=AJ19,AY19&lt;=AW19,AZ19&gt;=AK19,AZ19&lt;=AX19,ABS(1/(AY19*L19)-1/(AZ19*M19))/MIN(1/(AY19*L19),1/(AZ19*M19))&lt;=Config!$B$19),"YES","NO"))</f>
        <v>YES</v>
      </c>
      <c r="BB19">
        <f t="shared" si="31"/>
        <v>100</v>
      </c>
      <c r="BC19">
        <f t="shared" si="32"/>
        <v>91</v>
      </c>
      <c r="BD19" t="str">
        <f t="shared" si="33"/>
        <v>CIBLE INITIALE</v>
      </c>
      <c r="BE19">
        <f t="shared" si="34"/>
        <v>2.9252437703141929E-2</v>
      </c>
      <c r="BF19" t="str">
        <f>IF(B19="","",IF(VLOOKUP(B19,MOSFET!$A$2:$Q$13,2,FALSE)&lt;&gt;"N","NON – canal",IF(H19&lt;2*Config!$B$11*Config!$B$17,"NON – Vdss",IF(J19&lt;Config!$B$13*Config!$B$18,"NON – Id",IF(L19&gt;Config!$B$23,"NON – Ciss",IF(OR(L19="",P19="",X19="",BQ19="",R19="",T19="",Z19=""),"DONNÉES À COMPLÉTER","OK"))))))</f>
        <v>OK</v>
      </c>
      <c r="BG19" t="str">
        <f>IF(C19="","",IF(VLOOKUP(C19,MOSFET!$A$2:$Q$13,2,FALSE)&lt;&gt;"P","NON – canal",IF(I19&lt;2*Config!$B$11*Config!$B$17,"NON – Vdss",IF(K19&lt;Config!$B$13*Config!$B$18,"NON – Id",IF(M19&gt;Config!$B$23,"NON – Ciss",IF(OR(M19="",Q19="",Y19="",BR19="",S19="",U19="",AA19=""),"DONNÉES À COMPLÉTER","OK"))))))</f>
        <v>OK</v>
      </c>
      <c r="BH19" t="str">
        <f t="shared" si="35"/>
        <v>OUI – paire acceptable / test scope requis</v>
      </c>
      <c r="BI19">
        <f>IFERROR((Config!$B$34*BY19+Config!$B$35*BZ19+Config!$B$36*CA19)/Config!$B$37,"")</f>
        <v>0.88745697188416173</v>
      </c>
      <c r="BJ19">
        <f t="shared" si="36"/>
        <v>0.7142857142857143</v>
      </c>
      <c r="BK19">
        <f t="shared" si="37"/>
        <v>0.93333333333333335</v>
      </c>
      <c r="BL19">
        <f t="shared" si="38"/>
        <v>0.60447052482698893</v>
      </c>
      <c r="BM19">
        <f t="shared" si="39"/>
        <v>0.6</v>
      </c>
      <c r="BN19">
        <f t="shared" si="40"/>
        <v>0.8</v>
      </c>
      <c r="BO19">
        <f>IFERROR((Config!$B$25*BI19+Config!$B$26*BJ19+Config!$B$27*BK19+Config!$B$28*BL19+Config!$B$29*BM19+Config!$B$30*BN19)/Config!$B$31,"")</f>
        <v>0.77976481314643986</v>
      </c>
      <c r="BP19">
        <f t="shared" si="41"/>
        <v>3</v>
      </c>
      <c r="BQ19">
        <f>IFERROR(VLOOKUP($B19,MOSFET!$A$2:$Q$13,14,FALSE),"")</f>
        <v>28</v>
      </c>
      <c r="BR19">
        <f>IFERROR(VLOOKUP($C19,MOSFET!$A$2:$Q$13,14,FALSE),"")</f>
        <v>20</v>
      </c>
      <c r="BS19">
        <f t="shared" si="42"/>
        <v>2600</v>
      </c>
      <c r="BT19">
        <f t="shared" si="42"/>
        <v>2740</v>
      </c>
      <c r="BU19">
        <f t="shared" si="43"/>
        <v>1330</v>
      </c>
      <c r="BV19">
        <f t="shared" si="43"/>
        <v>1420</v>
      </c>
      <c r="BW19">
        <f t="shared" si="44"/>
        <v>187.00000000000011</v>
      </c>
      <c r="BX19">
        <f t="shared" si="44"/>
        <v>232.00000000000011</v>
      </c>
      <c r="BY19">
        <f t="shared" si="45"/>
        <v>0.94890510948905105</v>
      </c>
      <c r="BZ19">
        <f t="shared" si="46"/>
        <v>0.93661971830985913</v>
      </c>
      <c r="CA19">
        <f t="shared" si="47"/>
        <v>0.80603448275862077</v>
      </c>
      <c r="CB19">
        <f>IFERROR(P19+(L19-P19)*(1-Config!$B$39),"")</f>
        <v>1330</v>
      </c>
      <c r="CC19">
        <f>IFERROR(Q19+(M19-Q19)*(1-Config!$B$39),"")</f>
        <v>1420</v>
      </c>
      <c r="CD19" t="str">
        <f>IF(OR(BF19&lt;&gt;"OK",BG19&lt;&gt;"OK"),"X – INADAPTÉ",IF(AND(BI19&gt;=Config!$B$42,CE19&gt;=Config!$B$43,CF19=0),"A – TRÈS BON CANDIDAT",IF(AND(BI19&gt;=Config!$B$44,CE19&gt;=Config!$B$45,CF19=0),"B – BON CANDIDAT","C – À ÉTUDIER")))</f>
        <v>A – TRÈS BON CANDIDAT</v>
      </c>
      <c r="CE19">
        <f t="shared" si="48"/>
        <v>0.91</v>
      </c>
      <c r="CF19">
        <f>--(BJ19&lt;Config!$B$46)+--(BK19&lt;Config!$B$47)+--(BL19&lt;Config!$B$47)+--(BM19&lt;Config!$B$47)+--(BN19&lt;Config!$B$48)</f>
        <v>0</v>
      </c>
      <c r="CG19" t="str">
        <f>IF(CF19=0,"Aucune",IF(BJ19&lt;Config!$B$46,"Qgd; ","")&amp;IF(BK19&lt;Config!$B$47,"Qg; ","")&amp;IF(BL19&lt;Config!$B$47,"gm; ","")&amp;IF(BM19&lt;Config!$B$47,"Crss; ","")&amp;IF(BN19&lt;Config!$B$48,"VGS; ",""))</f>
        <v>Aucune</v>
      </c>
      <c r="CH19" t="str">
        <f t="shared" si="49"/>
        <v>NON TESTÉ</v>
      </c>
    </row>
    <row r="20" spans="1:86">
      <c r="A20" t="s">
        <v>77</v>
      </c>
      <c r="B20" t="s">
        <v>78</v>
      </c>
      <c r="C20" t="s">
        <v>32</v>
      </c>
      <c r="D20" t="str">
        <f>IFERROR(VLOOKUP(A20,Selection!$A$17:$I$34,4,FALSE),"NON TESTÉ / NOT TESTED")</f>
        <v>NON TESTÉ / NOT TESTED</v>
      </c>
      <c r="E20">
        <f>IFERROR(VLOOKUP(A20,Selection!$A$17:$I$34,5,FALSE),"")</f>
        <v>0</v>
      </c>
      <c r="F20">
        <f>IFERROR(VLOOKUP(A20,Selection!$A$17:$I$34,6,FALSE),"")</f>
        <v>0</v>
      </c>
      <c r="G20" t="str">
        <f>IF(Config!$B$3="FR",IFERROR(T(VLOOKUP(A20,Selection!$A$17:$I$34,7,FALSE)),""),IF(IFERROR(T(VLOOKUP(A20,Selection!$A$17:$I$34,8,FALSE)),"")&lt;&gt;"",IFERROR(T(VLOOKUP(A20,Selection!$A$17:$I$34,8,FALSE)),""),IFERROR(T(VLOOKUP(A20,Selection!$A$17:$I$34,7,FALSE)),"")))</f>
        <v>Combination to validate on Q17.</v>
      </c>
      <c r="H20">
        <f>IFERROR(VLOOKUP($B20,MOSFET!$A$2:$Q$13,5,FALSE),"")</f>
        <v>300</v>
      </c>
      <c r="I20">
        <f>IFERROR(VLOOKUP($C20,MOSFET!$A$2:$Q$13,5,FALSE),"")</f>
        <v>150</v>
      </c>
      <c r="J20">
        <f>IFERROR(VLOOKUP($B20,MOSFET!$A$2:$Q$13,6,FALSE),"")</f>
        <v>42</v>
      </c>
      <c r="K20">
        <f>IFERROR(VLOOKUP($C20,MOSFET!$A$2:$Q$13,6,FALSE),"")</f>
        <v>36</v>
      </c>
      <c r="L20">
        <f>IFERROR(VLOOKUP($B20,MOSFET!$A$2:$Q$13,7,FALSE),"")</f>
        <v>3200</v>
      </c>
      <c r="M20">
        <f>IFERROR(VLOOKUP($C20,MOSFET!$A$2:$Q$13,7,FALSE),"")</f>
        <v>2550</v>
      </c>
      <c r="N20">
        <f>IFERROR(VLOOKUP($B20,MOSFET!$A$2:$Q$13,8,FALSE),"")</f>
        <v>442</v>
      </c>
      <c r="O20">
        <f>IFERROR(VLOOKUP($C20,MOSFET!$A$2:$Q$13,8,FALSE),"")</f>
        <v>710</v>
      </c>
      <c r="P20">
        <f>IFERROR(VLOOKUP($B20,MOSFET!$A$2:$Q$13,9,FALSE),"")</f>
        <v>57</v>
      </c>
      <c r="Q20">
        <f>IFERROR(VLOOKUP($C20,MOSFET!$A$2:$Q$13,9,FALSE),"")</f>
        <v>110</v>
      </c>
      <c r="R20">
        <f>IFERROR(VLOOKUP($B20,MOSFET!$A$2:$Q$13,10,FALSE),"")</f>
        <v>55</v>
      </c>
      <c r="S20">
        <f>IFERROR(VLOOKUP($C20,MOSFET!$A$2:$Q$13,10,FALSE),"")</f>
        <v>19.5</v>
      </c>
      <c r="T20">
        <f>IFERROR(VLOOKUP($B20,MOSFET!$A$2:$Q$13,11,FALSE),"")</f>
        <v>34</v>
      </c>
      <c r="U20">
        <f>IFERROR(VLOOKUP($C20,MOSFET!$A$2:$Q$13,11,FALSE),"")</f>
        <v>18</v>
      </c>
      <c r="V20">
        <f>IFERROR(VLOOKUP($B20,MOSFET!$A$2:$Q$13,12,FALSE),0)</f>
        <v>0</v>
      </c>
      <c r="W20">
        <f>IFERROR(VLOOKUP($C20,MOSFET!$A$2:$Q$13,12,FALSE),0)</f>
        <v>0</v>
      </c>
      <c r="X20">
        <f>IFERROR(VLOOKUP($B20,MOSFET!$A$2:$Q$13,13,FALSE),"")</f>
        <v>90</v>
      </c>
      <c r="Y20">
        <f>IFERROR(VLOOKUP($C20,MOSFET!$A$2:$Q$13,13,FALSE),"")</f>
        <v>81</v>
      </c>
      <c r="Z20">
        <f>IFERROR(VLOOKUP($B20,MOSFET!$A$2:$Q$13,16,FALSE),"")</f>
        <v>4</v>
      </c>
      <c r="AA20">
        <f>IFERROR(VLOOKUP($C20,MOSFET!$A$2:$Q$13,16,FALSE),"")</f>
        <v>4.3</v>
      </c>
      <c r="AB20">
        <f>IFERROR(R20*SQRT(Config!$B$13/T20),"")</f>
        <v>16.674324221247893</v>
      </c>
      <c r="AC20">
        <f>IFERROR(S20*SQRT(Config!$B$13/U20),"")</f>
        <v>8.125</v>
      </c>
      <c r="AD20">
        <f>IFERROR((1/(2*PI()))*SQRT((1+AB20*Config!$B$12)/(Config!$B$14*0.000000001*L20*0.000000000001))/1000000,"")</f>
        <v>188.31088073140685</v>
      </c>
      <c r="AE20">
        <f>IFERROR((1/(2*PI()))*SQRT((1+AC20*Config!$B$12)/(Config!$B$14*0.000000001*M20*0.000000000001))/1000000,"")</f>
        <v>147.82959321035662</v>
      </c>
      <c r="AF20">
        <f>IFERROR((AB20*N20*Config!$B$12^2/L20)/(1+(2*PI()*AD20*1000000*N20*0.000000000001*Config!$B$12)^2),"")</f>
        <v>7.9659393014675643</v>
      </c>
      <c r="AG20">
        <f>IFERROR((AC20*O20*Config!$B$12^2/M20)/(1+(2*PI()*AE20*1000000*O20*0.000000000001*Config!$B$12)^2),"")</f>
        <v>5.0212655765315954</v>
      </c>
      <c r="AH20">
        <f>IF(AF20="","",MAX(0,Config!$B$16*AF20-V20-Config!$B$15))</f>
        <v>11.152315022054589</v>
      </c>
      <c r="AI20">
        <f>IF(AG20="","",MAX(0,Config!$B$16*AG20-W20-Config!$B$15))</f>
        <v>7.0297718071442334</v>
      </c>
      <c r="AJ20">
        <f>IF(AH20="","",IF(AH20&lt;=10,10,IF(AH20&gt;=10000,10000,IF(VLOOKUP(AH20,Notes!$F$2:$G$74,1,TRUE)=AH20,AH20,VLOOKUP(AH20,Notes!$F$2:$G$74,2,TRUE)))))</f>
        <v>12</v>
      </c>
      <c r="AK20">
        <f>IF(AI20="","",IF(AI20&lt;=10,10,IF(AI20&gt;=10000,10000,IF(VLOOKUP(AI20,Notes!$F$2:$G$74,1,TRUE)=AI20,AI20,VLOOKUP(AI20,Notes!$F$2:$G$74,2,TRUE)))))</f>
        <v>10</v>
      </c>
      <c r="AL20">
        <f t="shared" si="27"/>
        <v>4.1446599763514413</v>
      </c>
      <c r="AM20">
        <f t="shared" si="27"/>
        <v>6.2413703173292285</v>
      </c>
      <c r="AN20">
        <f t="shared" si="28"/>
        <v>4.1446599763514413</v>
      </c>
      <c r="AO20">
        <f t="shared" si="29"/>
        <v>11.999999999999998</v>
      </c>
      <c r="AP20">
        <f t="shared" si="30"/>
        <v>15.058823529411764</v>
      </c>
      <c r="AQ20">
        <f>IF(AO20="","",IF(MAX(AH20,AO20)&lt;=10,10,IF(MAX(AH20,AO20)&gt;=10000,10000,IF(VLOOKUP(MAX(AH20,AO20),Notes!$F$2:$G$74,1,TRUE)=MAX(AH20,AO20),MAX(AH20,AO20),VLOOKUP(MAX(AH20,AO20),Notes!$F$2:$G$74,2,TRUE)))))</f>
        <v>12</v>
      </c>
      <c r="AR20">
        <f>IF(AP20="","",IF(MAX(AI20,AP20)&lt;=10,10,IF(MAX(AI20,AP20)&gt;=10000,10000,IF(VLOOKUP(MAX(AI20,AP20),Notes!$F$2:$G$74,1,TRUE)=MAX(AI20,AP20),MAX(AI20,AP20),VLOOKUP(MAX(AI20,AP20),Notes!$F$2:$G$74,2,TRUE)))))</f>
        <v>16</v>
      </c>
      <c r="AS20">
        <f>IFERROR(P20+(L20-P20)/(1+AB20*Config!$B$12),"")</f>
        <v>80.386357381155193</v>
      </c>
      <c r="AT20">
        <f>IFERROR(Q20+(M20-Q20)/(1+AC20*Config!$B$12),"")</f>
        <v>146.96969696969697</v>
      </c>
      <c r="AU20">
        <f>IFERROR(MAX(0,MIN(TAN(RADIANS(Config!$B$21))/(2*PI()*Config!$B$20*1000*AS20*0.000000000001)-V20-Config!$B$15,SQRT(10^(Config!$B$22/10)-1)/(2*PI()*Config!$B$20*1000*AS20*0.000000000001)-V20-Config!$B$15)),"")</f>
        <v>1732.1662180352316</v>
      </c>
      <c r="AV20">
        <f>IFERROR(MAX(0,MIN(TAN(RADIANS(Config!$B$21))/(2*PI()*Config!$B$20*1000*AT20*0.000000000001)-W20-Config!$B$15,SQRT(10^(Config!$B$22/10)-1)/(2*PI()*Config!$B$20*1000*AT20*0.000000000001)-W20-Config!$B$15)),"")</f>
        <v>947.4234180074136</v>
      </c>
      <c r="AW20">
        <f>IF(AU20="","",IF(AU20&lt;10,"&lt;10",IF(AU20&gt;=10000,10000,VLOOKUP(AU20,Notes!$F$2:$G$74,1,TRUE))))</f>
        <v>1600</v>
      </c>
      <c r="AX20">
        <f>IF(AV20="","",IF(AV20&lt;10,"&lt;10",IF(AV20&gt;=10000,10000,VLOOKUP(AV20,Notes!$F$2:$G$74,1,TRUE))))</f>
        <v>910</v>
      </c>
      <c r="AY20">
        <f>IFERROR(IF((IF(Config!$B$8="R14",Config!$B$9,Config!$B$9*CC20/CB20))&lt;=10,10,IF((IF(Config!$B$8="R14",Config!$B$9,Config!$B$9*CC20/CB20))&gt;=10000,10000,IF(ABS((IF(Config!$B$8="R14",Config!$B$9,Config!$B$9*CC20/CB20))-VLOOKUP((IF(Config!$B$8="R14",Config!$B$9,Config!$B$9*CC20/CB20)),Notes!$F$2:$G$74,1,TRUE))&lt;=ABS(VLOOKUP((IF(Config!$B$8="R14",Config!$B$9,Config!$B$9*CC20/CB20)),Notes!$F$2:$G$74,2,TRUE)-(IF(Config!$B$8="R14",Config!$B$9,Config!$B$9*CC20/CB20))),VLOOKUP((IF(Config!$B$8="R14",Config!$B$9,Config!$B$9*CC20/CB20)),Notes!$F$2:$G$74,1,TRUE),VLOOKUP((IF(Config!$B$8="R14",Config!$B$9,Config!$B$9*CC20/CB20)),Notes!$F$2:$G$74,2,TRUE)))),"")</f>
        <v>100</v>
      </c>
      <c r="AZ20">
        <f>IFERROR(IF((IF(Config!$B$8="R15",Config!$B$9,Config!$B$9*CB20/CC20))&lt;=10,10,IF((IF(Config!$B$8="R15",Config!$B$9,Config!$B$9*CB20/CC20))&gt;=10000,10000,IF(ABS((IF(Config!$B$8="R15",Config!$B$9,Config!$B$9*CB20/CC20))-VLOOKUP((IF(Config!$B$8="R15",Config!$B$9,Config!$B$9*CB20/CC20)),Notes!$F$2:$G$74,1,TRUE))&lt;=ABS(VLOOKUP((IF(Config!$B$8="R15",Config!$B$9,Config!$B$9*CB20/CC20)),Notes!$F$2:$G$74,2,TRUE)-(IF(Config!$B$8="R15",Config!$B$9,Config!$B$9*CB20/CC20))),VLOOKUP((IF(Config!$B$8="R15",Config!$B$9,Config!$B$9*CB20/CC20)),Notes!$F$2:$G$74,1,TRUE),VLOOKUP((IF(Config!$B$8="R15",Config!$B$9,Config!$B$9*CB20/CC20)),Notes!$F$2:$G$74,2,TRUE)))),"")</f>
        <v>120</v>
      </c>
      <c r="BA20" t="str">
        <f>IF(OR(AW20="&lt;10",AX20="&lt;10"),"NO",IF(AND(AY20&gt;=AJ20,AY20&lt;=AW20,AZ20&gt;=AK20,AZ20&lt;=AX20,ABS(1/(AY20*L20)-1/(AZ20*M20))/MIN(1/(AY20*L20),1/(AZ20*M20))&lt;=Config!$B$19),"YES","NO"))</f>
        <v>YES</v>
      </c>
      <c r="BB20">
        <f t="shared" si="31"/>
        <v>100</v>
      </c>
      <c r="BC20">
        <f t="shared" si="32"/>
        <v>120</v>
      </c>
      <c r="BD20" t="str">
        <f t="shared" si="33"/>
        <v>CIBLE INITIALE</v>
      </c>
      <c r="BE20">
        <f t="shared" si="34"/>
        <v>2.0363408521303257E-2</v>
      </c>
      <c r="BF20" t="str">
        <f>IF(B20="","",IF(VLOOKUP(B20,MOSFET!$A$2:$Q$13,2,FALSE)&lt;&gt;"N","NON – canal",IF(H20&lt;2*Config!$B$11*Config!$B$17,"NON – Vdss",IF(J20&lt;Config!$B$13*Config!$B$18,"NON – Id",IF(L20&gt;Config!$B$23,"NON – Ciss",IF(OR(L20="",P20="",X20="",BQ20="",R20="",T20="",Z20=""),"DONNÉES À COMPLÉTER","OK"))))))</f>
        <v>OK</v>
      </c>
      <c r="BG20" t="str">
        <f>IF(C20="","",IF(VLOOKUP(C20,MOSFET!$A$2:$Q$13,2,FALSE)&lt;&gt;"P","NON – canal",IF(I20&lt;2*Config!$B$11*Config!$B$17,"NON – Vdss",IF(K20&lt;Config!$B$13*Config!$B$18,"NON – Id",IF(M20&gt;Config!$B$23,"NON – Ciss",IF(OR(M20="",Q20="",Y20="",BR20="",S20="",U20="",AA20=""),"DONNÉES À COMPLÉTER","OK"))))))</f>
        <v>OK</v>
      </c>
      <c r="BH20" t="str">
        <f t="shared" si="35"/>
        <v>OUI – paire acceptable / test scope requis</v>
      </c>
      <c r="BI20">
        <f>IFERROR((Config!$B$34*BY20+Config!$B$35*BZ20+Config!$B$36*CA20)/Config!$B$37,"")</f>
        <v>0.85428875836394824</v>
      </c>
      <c r="BJ20">
        <f t="shared" si="36"/>
        <v>0.95238095238095233</v>
      </c>
      <c r="BK20">
        <f t="shared" si="37"/>
        <v>0.9</v>
      </c>
      <c r="BL20">
        <f t="shared" si="38"/>
        <v>0.48727611939117804</v>
      </c>
      <c r="BM20">
        <f t="shared" si="39"/>
        <v>0.51818181818181819</v>
      </c>
      <c r="BN20">
        <f t="shared" si="40"/>
        <v>0.93023255813953487</v>
      </c>
      <c r="BO20">
        <f>IFERROR((Config!$B$25*BI20+Config!$B$26*BJ20+Config!$B$27*BK20+Config!$B$28*BL20+Config!$B$29*BM20+Config!$B$30*BN20)/Config!$B$31,"")</f>
        <v>0.79969567352618687</v>
      </c>
      <c r="BP20">
        <f t="shared" si="41"/>
        <v>3</v>
      </c>
      <c r="BQ20">
        <f>IFERROR(VLOOKUP($B20,MOSFET!$A$2:$Q$13,14,FALSE),"")</f>
        <v>40</v>
      </c>
      <c r="BR20">
        <f>IFERROR(VLOOKUP($C20,MOSFET!$A$2:$Q$13,14,FALSE),"")</f>
        <v>42</v>
      </c>
      <c r="BS20">
        <f t="shared" si="42"/>
        <v>3200</v>
      </c>
      <c r="BT20">
        <f t="shared" si="42"/>
        <v>2550</v>
      </c>
      <c r="BU20">
        <f t="shared" si="43"/>
        <v>1628.5</v>
      </c>
      <c r="BV20">
        <f t="shared" si="43"/>
        <v>1330</v>
      </c>
      <c r="BW20">
        <f t="shared" si="44"/>
        <v>214.15000000000015</v>
      </c>
      <c r="BX20">
        <f t="shared" si="44"/>
        <v>232.00000000000011</v>
      </c>
      <c r="BY20">
        <f t="shared" si="45"/>
        <v>0.796875</v>
      </c>
      <c r="BZ20">
        <f t="shared" si="46"/>
        <v>0.81670248695118208</v>
      </c>
      <c r="CA20">
        <f t="shared" si="47"/>
        <v>0.92306034482758637</v>
      </c>
      <c r="CB20">
        <f>IFERROR(P20+(L20-P20)*(1-Config!$B$39),"")</f>
        <v>1628.5</v>
      </c>
      <c r="CC20">
        <f>IFERROR(Q20+(M20-Q20)*(1-Config!$B$39),"")</f>
        <v>1330</v>
      </c>
      <c r="CD20" t="str">
        <f>IF(OR(BF20&lt;&gt;"OK",BG20&lt;&gt;"OK"),"X – INADAPTÉ",IF(AND(BI20&gt;=Config!$B$42,CE20&gt;=Config!$B$43,CF20=0),"A – TRÈS BON CANDIDAT",IF(AND(BI20&gt;=Config!$B$44,CE20&gt;=Config!$B$45,CF20=0),"B – BON CANDIDAT","C – À ÉTUDIER")))</f>
        <v>A – TRÈS BON CANDIDAT</v>
      </c>
      <c r="CE20">
        <f t="shared" si="48"/>
        <v>0.83333333333333337</v>
      </c>
      <c r="CF20">
        <f>--(BJ20&lt;Config!$B$46)+--(BK20&lt;Config!$B$47)+--(BL20&lt;Config!$B$47)+--(BM20&lt;Config!$B$47)+--(BN20&lt;Config!$B$48)</f>
        <v>0</v>
      </c>
      <c r="CG20" t="str">
        <f>IF(CF20=0,"Aucune",IF(BJ20&lt;Config!$B$46,"Qgd; ","")&amp;IF(BK20&lt;Config!$B$47,"Qg; ","")&amp;IF(BL20&lt;Config!$B$47,"gm; ","")&amp;IF(BM20&lt;Config!$B$47,"Crss; ","")&amp;IF(BN20&lt;Config!$B$48,"VGS; ",""))</f>
        <v>Aucune</v>
      </c>
      <c r="CH20" t="str">
        <f t="shared" si="49"/>
        <v>NON TESTÉ</v>
      </c>
    </row>
    <row r="21" spans="1:86">
      <c r="A21" t="s">
        <v>80</v>
      </c>
      <c r="B21" t="s">
        <v>78</v>
      </c>
      <c r="C21" t="s">
        <v>44</v>
      </c>
      <c r="D21" t="str">
        <f>IFERROR(VLOOKUP(A21,Selection!$A$17:$I$34,4,FALSE),"NON TESTÉ / NOT TESTED")</f>
        <v>NON TESTÉ / NOT TESTED</v>
      </c>
      <c r="E21">
        <f>IFERROR(VLOOKUP(A21,Selection!$A$17:$I$34,5,FALSE),"")</f>
        <v>0</v>
      </c>
      <c r="F21">
        <f>IFERROR(VLOOKUP(A21,Selection!$A$17:$I$34,6,FALSE),"")</f>
        <v>0</v>
      </c>
      <c r="G21" t="str">
        <f>IF(Config!$B$3="FR",IFERROR(T(VLOOKUP(A21,Selection!$A$17:$I$34,7,FALSE)),""),IF(IFERROR(T(VLOOKUP(A21,Selection!$A$17:$I$34,8,FALSE)),"")&lt;&gt;"",IFERROR(T(VLOOKUP(A21,Selection!$A$17:$I$34,8,FALSE)),""),IFERROR(T(VLOOKUP(A21,Selection!$A$17:$I$34,7,FALSE)),"")))</f>
        <v>Combination to validate on Q17.</v>
      </c>
      <c r="H21">
        <f>IFERROR(VLOOKUP($B21,MOSFET!$A$2:$Q$13,5,FALSE),"")</f>
        <v>300</v>
      </c>
      <c r="I21">
        <f>IFERROR(VLOOKUP($C21,MOSFET!$A$2:$Q$13,5,FALSE),"")</f>
        <v>150</v>
      </c>
      <c r="J21">
        <f>IFERROR(VLOOKUP($B21,MOSFET!$A$2:$Q$13,6,FALSE),"")</f>
        <v>42</v>
      </c>
      <c r="K21">
        <f>IFERROR(VLOOKUP($C21,MOSFET!$A$2:$Q$13,6,FALSE),"")</f>
        <v>36</v>
      </c>
      <c r="L21">
        <f>IFERROR(VLOOKUP($B21,MOSFET!$A$2:$Q$13,7,FALSE),"")</f>
        <v>3200</v>
      </c>
      <c r="M21">
        <f>IFERROR(VLOOKUP($C21,MOSFET!$A$2:$Q$13,7,FALSE),"")</f>
        <v>3100</v>
      </c>
      <c r="N21">
        <f>IFERROR(VLOOKUP($B21,MOSFET!$A$2:$Q$13,8,FALSE),"")</f>
        <v>442</v>
      </c>
      <c r="O21">
        <f>IFERROR(VLOOKUP($C21,MOSFET!$A$2:$Q$13,8,FALSE),"")</f>
        <v>610</v>
      </c>
      <c r="P21">
        <f>IFERROR(VLOOKUP($B21,MOSFET!$A$2:$Q$13,9,FALSE),"")</f>
        <v>57</v>
      </c>
      <c r="Q21">
        <f>IFERROR(VLOOKUP($C21,MOSFET!$A$2:$Q$13,9,FALSE),"")</f>
        <v>100</v>
      </c>
      <c r="R21">
        <f>IFERROR(VLOOKUP($B21,MOSFET!$A$2:$Q$13,10,FALSE),"")</f>
        <v>55</v>
      </c>
      <c r="S21">
        <f>IFERROR(VLOOKUP($C21,MOSFET!$A$2:$Q$13,10,FALSE),"")</f>
        <v>19</v>
      </c>
      <c r="T21">
        <f>IFERROR(VLOOKUP($B21,MOSFET!$A$2:$Q$13,11,FALSE),"")</f>
        <v>34</v>
      </c>
      <c r="U21">
        <f>IFERROR(VLOOKUP($C21,MOSFET!$A$2:$Q$13,11,FALSE),"")</f>
        <v>18</v>
      </c>
      <c r="V21">
        <f>IFERROR(VLOOKUP($B21,MOSFET!$A$2:$Q$13,12,FALSE),0)</f>
        <v>0</v>
      </c>
      <c r="W21">
        <f>IFERROR(VLOOKUP($C21,MOSFET!$A$2:$Q$13,12,FALSE),0)</f>
        <v>0</v>
      </c>
      <c r="X21">
        <f>IFERROR(VLOOKUP($B21,MOSFET!$A$2:$Q$13,13,FALSE),"")</f>
        <v>90</v>
      </c>
      <c r="Y21">
        <f>IFERROR(VLOOKUP($C21,MOSFET!$A$2:$Q$13,13,FALSE),"")</f>
        <v>55</v>
      </c>
      <c r="Z21">
        <f>IFERROR(VLOOKUP($B21,MOSFET!$A$2:$Q$13,16,FALSE),"")</f>
        <v>4</v>
      </c>
      <c r="AA21">
        <f>IFERROR(VLOOKUP($C21,MOSFET!$A$2:$Q$13,16,FALSE),"")</f>
        <v>4.8</v>
      </c>
      <c r="AB21">
        <f>IFERROR(R21*SQRT(Config!$B$13/T21),"")</f>
        <v>16.674324221247893</v>
      </c>
      <c r="AC21">
        <f>IFERROR(S21*SQRT(Config!$B$13/U21),"")</f>
        <v>7.916666666666667</v>
      </c>
      <c r="AD21">
        <f>IFERROR((1/(2*PI()))*SQRT((1+AB21*Config!$B$12)/(Config!$B$14*0.000000001*L21*0.000000000001))/1000000,"")</f>
        <v>188.31088073140685</v>
      </c>
      <c r="AE21">
        <f>IFERROR((1/(2*PI()))*SQRT((1+AC21*Config!$B$12)/(Config!$B$14*0.000000001*M21*0.000000000001))/1000000,"")</f>
        <v>132.37216881932235</v>
      </c>
      <c r="AF21">
        <f>IFERROR((AB21*N21*Config!$B$12^2/L21)/(1+(2*PI()*AD21*1000000*N21*0.000000000001*Config!$B$12)^2),"")</f>
        <v>7.9659393014675643</v>
      </c>
      <c r="AG21">
        <f>IFERROR((AC21*O21*Config!$B$12^2/M21)/(1+(2*PI()*AE21*1000000*O21*0.000000000001*Config!$B$12)^2),"")</f>
        <v>5.7056364205032697</v>
      </c>
      <c r="AH21">
        <f>IF(AF21="","",MAX(0,Config!$B$16*AF21-V21-Config!$B$15))</f>
        <v>11.152315022054589</v>
      </c>
      <c r="AI21">
        <f>IF(AG21="","",MAX(0,Config!$B$16*AG21-W21-Config!$B$15))</f>
        <v>7.987890988704577</v>
      </c>
      <c r="AJ21">
        <f>IF(AH21="","",IF(AH21&lt;=10,10,IF(AH21&gt;=10000,10000,IF(VLOOKUP(AH21,Notes!$F$2:$G$74,1,TRUE)=AH21,AH21,VLOOKUP(AH21,Notes!$F$2:$G$74,2,TRUE)))))</f>
        <v>12</v>
      </c>
      <c r="AK21">
        <f>IF(AI21="","",IF(AI21&lt;=10,10,IF(AI21&gt;=10000,10000,IF(VLOOKUP(AI21,Notes!$F$2:$G$74,1,TRUE)=AI21,AI21,VLOOKUP(AI21,Notes!$F$2:$G$74,2,TRUE)))))</f>
        <v>10</v>
      </c>
      <c r="AL21">
        <f t="shared" si="27"/>
        <v>4.1446599763514413</v>
      </c>
      <c r="AM21">
        <f t="shared" si="27"/>
        <v>5.1340304223192055</v>
      </c>
      <c r="AN21">
        <f t="shared" si="28"/>
        <v>4.1446599763514413</v>
      </c>
      <c r="AO21">
        <f t="shared" si="29"/>
        <v>11.999999999999998</v>
      </c>
      <c r="AP21">
        <f t="shared" si="30"/>
        <v>12.387096774193548</v>
      </c>
      <c r="AQ21">
        <f>IF(AO21="","",IF(MAX(AH21,AO21)&lt;=10,10,IF(MAX(AH21,AO21)&gt;=10000,10000,IF(VLOOKUP(MAX(AH21,AO21),Notes!$F$2:$G$74,1,TRUE)=MAX(AH21,AO21),MAX(AH21,AO21),VLOOKUP(MAX(AH21,AO21),Notes!$F$2:$G$74,2,TRUE)))))</f>
        <v>12</v>
      </c>
      <c r="AR21">
        <f>IF(AP21="","",IF(MAX(AI21,AP21)&lt;=10,10,IF(MAX(AI21,AP21)&gt;=10000,10000,IF(VLOOKUP(MAX(AI21,AP21),Notes!$F$2:$G$74,1,TRUE)=MAX(AI21,AP21),MAX(AI21,AP21),VLOOKUP(MAX(AI21,AP21),Notes!$F$2:$G$74,2,TRUE)))))</f>
        <v>13</v>
      </c>
      <c r="AS21">
        <f>IFERROR(P21+(L21-P21)/(1+AB21*Config!$B$12),"")</f>
        <v>80.386357381155193</v>
      </c>
      <c r="AT21">
        <f>IFERROR(Q21+(M21-Q21)/(1+AC21*Config!$B$12),"")</f>
        <v>146.6321243523316</v>
      </c>
      <c r="AU21">
        <f>IFERROR(MAX(0,MIN(TAN(RADIANS(Config!$B$21))/(2*PI()*Config!$B$20*1000*AS21*0.000000000001)-V21-Config!$B$15,SQRT(10^(Config!$B$22/10)-1)/(2*PI()*Config!$B$20*1000*AS21*0.000000000001)-V21-Config!$B$15)),"")</f>
        <v>1732.1662180352316</v>
      </c>
      <c r="AV21">
        <f>IFERROR(MAX(0,MIN(TAN(RADIANS(Config!$B$21))/(2*PI()*Config!$B$20*1000*AT21*0.000000000001)-W21-Config!$B$15,SQRT(10^(Config!$B$22/10)-1)/(2*PI()*Config!$B$20*1000*AT21*0.000000000001)-W21-Config!$B$15)),"")</f>
        <v>949.60455126441752</v>
      </c>
      <c r="AW21">
        <f>IF(AU21="","",IF(AU21&lt;10,"&lt;10",IF(AU21&gt;=10000,10000,VLOOKUP(AU21,Notes!$F$2:$G$74,1,TRUE))))</f>
        <v>1600</v>
      </c>
      <c r="AX21">
        <f>IF(AV21="","",IF(AV21&lt;10,"&lt;10",IF(AV21&gt;=10000,10000,VLOOKUP(AV21,Notes!$F$2:$G$74,1,TRUE))))</f>
        <v>910</v>
      </c>
      <c r="AY21">
        <f>IFERROR(IF((IF(Config!$B$8="R14",Config!$B$9,Config!$B$9*CC21/CB21))&lt;=10,10,IF((IF(Config!$B$8="R14",Config!$B$9,Config!$B$9*CC21/CB21))&gt;=10000,10000,IF(ABS((IF(Config!$B$8="R14",Config!$B$9,Config!$B$9*CC21/CB21))-VLOOKUP((IF(Config!$B$8="R14",Config!$B$9,Config!$B$9*CC21/CB21)),Notes!$F$2:$G$74,1,TRUE))&lt;=ABS(VLOOKUP((IF(Config!$B$8="R14",Config!$B$9,Config!$B$9*CC21/CB21)),Notes!$F$2:$G$74,2,TRUE)-(IF(Config!$B$8="R14",Config!$B$9,Config!$B$9*CC21/CB21))),VLOOKUP((IF(Config!$B$8="R14",Config!$B$9,Config!$B$9*CC21/CB21)),Notes!$F$2:$G$74,1,TRUE),VLOOKUP((IF(Config!$B$8="R14",Config!$B$9,Config!$B$9*CC21/CB21)),Notes!$F$2:$G$74,2,TRUE)))),"")</f>
        <v>100</v>
      </c>
      <c r="AZ21">
        <f>IFERROR(IF((IF(Config!$B$8="R15",Config!$B$9,Config!$B$9*CB21/CC21))&lt;=10,10,IF((IF(Config!$B$8="R15",Config!$B$9,Config!$B$9*CB21/CC21))&gt;=10000,10000,IF(ABS((IF(Config!$B$8="R15",Config!$B$9,Config!$B$9*CB21/CC21))-VLOOKUP((IF(Config!$B$8="R15",Config!$B$9,Config!$B$9*CB21/CC21)),Notes!$F$2:$G$74,1,TRUE))&lt;=ABS(VLOOKUP((IF(Config!$B$8="R15",Config!$B$9,Config!$B$9*CB21/CC21)),Notes!$F$2:$G$74,2,TRUE)-(IF(Config!$B$8="R15",Config!$B$9,Config!$B$9*CB21/CC21))),VLOOKUP((IF(Config!$B$8="R15",Config!$B$9,Config!$B$9*CB21/CC21)),Notes!$F$2:$G$74,1,TRUE),VLOOKUP((IF(Config!$B$8="R15",Config!$B$9,Config!$B$9*CB21/CC21)),Notes!$F$2:$G$74,2,TRUE)))),"")</f>
        <v>100</v>
      </c>
      <c r="BA21" t="str">
        <f>IF(OR(AW21="&lt;10",AX21="&lt;10"),"NO",IF(AND(AY21&gt;=AJ21,AY21&lt;=AW21,AZ21&gt;=AK21,AZ21&lt;=AX21,ABS(1/(AY21*L21)-1/(AZ21*M21))/MIN(1/(AY21*L21),1/(AZ21*M21))&lt;=Config!$B$19),"YES","NO"))</f>
        <v>YES</v>
      </c>
      <c r="BB21">
        <f t="shared" si="31"/>
        <v>100</v>
      </c>
      <c r="BC21">
        <f t="shared" si="32"/>
        <v>100</v>
      </c>
      <c r="BD21" t="str">
        <f t="shared" si="33"/>
        <v>CIBLE INITIALE</v>
      </c>
      <c r="BE21">
        <f t="shared" si="34"/>
        <v>1.7812499999999998E-2</v>
      </c>
      <c r="BF21" t="str">
        <f>IF(B21="","",IF(VLOOKUP(B21,MOSFET!$A$2:$Q$13,2,FALSE)&lt;&gt;"N","NON – canal",IF(H21&lt;2*Config!$B$11*Config!$B$17,"NON – Vdss",IF(J21&lt;Config!$B$13*Config!$B$18,"NON – Id",IF(L21&gt;Config!$B$23,"NON – Ciss",IF(OR(L21="",P21="",X21="",BQ21="",R21="",T21="",Z21=""),"DONNÉES À COMPLÉTER","OK"))))))</f>
        <v>OK</v>
      </c>
      <c r="BG21" t="str">
        <f>IF(C21="","",IF(VLOOKUP(C21,MOSFET!$A$2:$Q$13,2,FALSE)&lt;&gt;"P","NON – canal",IF(I21&lt;2*Config!$B$11*Config!$B$17,"NON – Vdss",IF(K21&lt;Config!$B$13*Config!$B$18,"NON – Id",IF(M21&gt;Config!$B$23,"NON – Ciss",IF(OR(M21="",Q21="",Y21="",BR21="",S21="",U21="",AA21=""),"DONNÉES À COMPLÉTER","OK"))))))</f>
        <v>OK</v>
      </c>
      <c r="BH21" t="str">
        <f t="shared" si="35"/>
        <v>À ÉVALUER – compatibilité faible</v>
      </c>
      <c r="BI21">
        <f>IFERROR((Config!$B$34*BY21+Config!$B$35*BZ21+Config!$B$36*CA21)/Config!$B$37,"")</f>
        <v>0.92870223134786611</v>
      </c>
      <c r="BJ21">
        <f t="shared" si="36"/>
        <v>0.45</v>
      </c>
      <c r="BK21">
        <f t="shared" si="37"/>
        <v>0.61111111111111116</v>
      </c>
      <c r="BL21">
        <f t="shared" si="38"/>
        <v>0.47478185991960936</v>
      </c>
      <c r="BM21">
        <f t="shared" si="39"/>
        <v>0.56999999999999995</v>
      </c>
      <c r="BN21">
        <f t="shared" si="40"/>
        <v>0.83333333333333337</v>
      </c>
      <c r="BO21">
        <f>IFERROR((Config!$B$25*BI21+Config!$B$26*BJ21+Config!$B$27*BK21+Config!$B$28*BL21+Config!$B$29*BM21+Config!$B$30*BN21)/Config!$B$31,"")</f>
        <v>0.6718279483923012</v>
      </c>
      <c r="BP21">
        <f t="shared" si="41"/>
        <v>2</v>
      </c>
      <c r="BQ21">
        <f>IFERROR(VLOOKUP($B21,MOSFET!$A$2:$Q$13,14,FALSE),"")</f>
        <v>40</v>
      </c>
      <c r="BR21">
        <f>IFERROR(VLOOKUP($C21,MOSFET!$A$2:$Q$13,14,FALSE),"")</f>
        <v>18</v>
      </c>
      <c r="BS21">
        <f t="shared" si="42"/>
        <v>3200</v>
      </c>
      <c r="BT21">
        <f t="shared" si="42"/>
        <v>3100</v>
      </c>
      <c r="BU21">
        <f t="shared" si="43"/>
        <v>1628.5</v>
      </c>
      <c r="BV21">
        <f t="shared" si="43"/>
        <v>1600</v>
      </c>
      <c r="BW21">
        <f t="shared" si="44"/>
        <v>214.15000000000015</v>
      </c>
      <c r="BX21">
        <f t="shared" si="44"/>
        <v>250.00000000000014</v>
      </c>
      <c r="BY21">
        <f t="shared" si="45"/>
        <v>0.96875</v>
      </c>
      <c r="BZ21">
        <f t="shared" si="46"/>
        <v>0.98249923242247472</v>
      </c>
      <c r="CA21">
        <f t="shared" si="47"/>
        <v>0.85660000000000014</v>
      </c>
      <c r="CB21">
        <f>IFERROR(P21+(L21-P21)*(1-Config!$B$39),"")</f>
        <v>1628.5</v>
      </c>
      <c r="CC21">
        <f>IFERROR(Q21+(M21-Q21)*(1-Config!$B$39),"")</f>
        <v>1600</v>
      </c>
      <c r="CD21" t="str">
        <f>IF(OR(BF21&lt;&gt;"OK",BG21&lt;&gt;"OK"),"X – INADAPTÉ",IF(AND(BI21&gt;=Config!$B$42,CE21&gt;=Config!$B$43,CF21=0),"A – TRÈS BON CANDIDAT",IF(AND(BI21&gt;=Config!$B$44,CE21&gt;=Config!$B$45,CF21=0),"B – BON CANDIDAT","C – À ÉTUDIER")))</f>
        <v>A – TRÈS BON CANDIDAT</v>
      </c>
      <c r="CE21">
        <f t="shared" si="48"/>
        <v>1</v>
      </c>
      <c r="CF21">
        <f>--(BJ21&lt;Config!$B$46)+--(BK21&lt;Config!$B$47)+--(BL21&lt;Config!$B$47)+--(BM21&lt;Config!$B$47)+--(BN21&lt;Config!$B$48)</f>
        <v>0</v>
      </c>
      <c r="CG21" t="str">
        <f>IF(CF21=0,"Aucune",IF(BJ21&lt;Config!$B$46,"Qgd; ","")&amp;IF(BK21&lt;Config!$B$47,"Qg; ","")&amp;IF(BL21&lt;Config!$B$47,"gm; ","")&amp;IF(BM21&lt;Config!$B$47,"Crss; ","")&amp;IF(BN21&lt;Config!$B$48,"VGS; ",""))</f>
        <v>Aucune</v>
      </c>
      <c r="CH21" t="str">
        <f t="shared" si="49"/>
        <v>NON TESTÉ</v>
      </c>
    </row>
    <row r="22" spans="1:86">
      <c r="A22" t="s">
        <v>82</v>
      </c>
      <c r="B22" t="s">
        <v>78</v>
      </c>
      <c r="C22" t="s">
        <v>57</v>
      </c>
      <c r="D22" t="str">
        <f>IFERROR(VLOOKUP(A22,Selection!$A$17:$I$34,4,FALSE),"NON TESTÉ / NOT TESTED")</f>
        <v>NON TESTÉ / NOT TESTED</v>
      </c>
      <c r="E22">
        <f>IFERROR(VLOOKUP(A22,Selection!$A$17:$I$34,5,FALSE),"")</f>
        <v>0</v>
      </c>
      <c r="F22">
        <f>IFERROR(VLOOKUP(A22,Selection!$A$17:$I$34,6,FALSE),"")</f>
        <v>0</v>
      </c>
      <c r="G22" t="str">
        <f>IF(Config!$B$3="FR",IFERROR(T(VLOOKUP(A22,Selection!$A$17:$I$34,7,FALSE)),""),IF(IFERROR(T(VLOOKUP(A22,Selection!$A$17:$I$34,8,FALSE)),"")&lt;&gt;"",IFERROR(T(VLOOKUP(A22,Selection!$A$17:$I$34,8,FALSE)),""),IFERROR(T(VLOOKUP(A22,Selection!$A$17:$I$34,7,FALSE)),"")))</f>
        <v>Combination to validate on Q17.</v>
      </c>
      <c r="H22">
        <f>IFERROR(VLOOKUP($B22,MOSFET!$A$2:$Q$13,5,FALSE),"")</f>
        <v>300</v>
      </c>
      <c r="I22">
        <f>IFERROR(VLOOKUP($C22,MOSFET!$A$2:$Q$13,5,FALSE),"")</f>
        <v>200</v>
      </c>
      <c r="J22">
        <f>IFERROR(VLOOKUP($B22,MOSFET!$A$2:$Q$13,6,FALSE),"")</f>
        <v>42</v>
      </c>
      <c r="K22">
        <f>IFERROR(VLOOKUP($C22,MOSFET!$A$2:$Q$13,6,FALSE),"")</f>
        <v>26</v>
      </c>
      <c r="L22">
        <f>IFERROR(VLOOKUP($B22,MOSFET!$A$2:$Q$13,7,FALSE),"")</f>
        <v>3200</v>
      </c>
      <c r="M22">
        <f>IFERROR(VLOOKUP($C22,MOSFET!$A$2:$Q$13,7,FALSE),"")</f>
        <v>2740</v>
      </c>
      <c r="N22">
        <f>IFERROR(VLOOKUP($B22,MOSFET!$A$2:$Q$13,8,FALSE),"")</f>
        <v>442</v>
      </c>
      <c r="O22">
        <f>IFERROR(VLOOKUP($C22,MOSFET!$A$2:$Q$13,8,FALSE),"")</f>
        <v>540</v>
      </c>
      <c r="P22">
        <f>IFERROR(VLOOKUP($B22,MOSFET!$A$2:$Q$13,9,FALSE),"")</f>
        <v>57</v>
      </c>
      <c r="Q22">
        <f>IFERROR(VLOOKUP($C22,MOSFET!$A$2:$Q$13,9,FALSE),"")</f>
        <v>100</v>
      </c>
      <c r="R22">
        <f>IFERROR(VLOOKUP($B22,MOSFET!$A$2:$Q$13,10,FALSE),"")</f>
        <v>55</v>
      </c>
      <c r="S22">
        <f>IFERROR(VLOOKUP($C22,MOSFET!$A$2:$Q$13,10,FALSE),"")</f>
        <v>17</v>
      </c>
      <c r="T22">
        <f>IFERROR(VLOOKUP($B22,MOSFET!$A$2:$Q$13,11,FALSE),"")</f>
        <v>34</v>
      </c>
      <c r="U22">
        <f>IFERROR(VLOOKUP($C22,MOSFET!$A$2:$Q$13,11,FALSE),"")</f>
        <v>13</v>
      </c>
      <c r="V22">
        <f>IFERROR(VLOOKUP($B22,MOSFET!$A$2:$Q$13,12,FALSE),0)</f>
        <v>0</v>
      </c>
      <c r="W22">
        <f>IFERROR(VLOOKUP($C22,MOSFET!$A$2:$Q$13,12,FALSE),0)</f>
        <v>0</v>
      </c>
      <c r="X22">
        <f>IFERROR(VLOOKUP($B22,MOSFET!$A$2:$Q$13,13,FALSE),"")</f>
        <v>90</v>
      </c>
      <c r="Y22">
        <f>IFERROR(VLOOKUP($C22,MOSFET!$A$2:$Q$13,13,FALSE),"")</f>
        <v>56</v>
      </c>
      <c r="Z22">
        <f>IFERROR(VLOOKUP($B22,MOSFET!$A$2:$Q$13,16,FALSE),"")</f>
        <v>4</v>
      </c>
      <c r="AA22">
        <f>IFERROR(VLOOKUP($C22,MOSFET!$A$2:$Q$13,16,FALSE),"")</f>
        <v>4.4000000000000004</v>
      </c>
      <c r="AB22">
        <f>IFERROR(R22*SQRT(Config!$B$13/T22),"")</f>
        <v>16.674324221247893</v>
      </c>
      <c r="AC22">
        <f>IFERROR(S22*SQRT(Config!$B$13/U22),"")</f>
        <v>8.3349357433728226</v>
      </c>
      <c r="AD22">
        <f>IFERROR((1/(2*PI()))*SQRT((1+AB22*Config!$B$12)/(Config!$B$14*0.000000001*L22*0.000000000001))/1000000,"")</f>
        <v>188.31088073140685</v>
      </c>
      <c r="AE22">
        <f>IFERROR((1/(2*PI()))*SQRT((1+AC22*Config!$B$12)/(Config!$B$14*0.000000001*M22*0.000000000001))/1000000,"")</f>
        <v>144.41514763887656</v>
      </c>
      <c r="AF22">
        <f>IFERROR((AB22*N22*Config!$B$12^2/L22)/(1+(2*PI()*AD22*1000000*N22*0.000000000001*Config!$B$12)^2),"")</f>
        <v>7.9659393014675643</v>
      </c>
      <c r="AG22">
        <f>IFERROR((AC22*O22*Config!$B$12^2/M22)/(1+(2*PI()*AE22*1000000*O22*0.000000000001*Config!$B$12)^2),"")</f>
        <v>6.4237774505538843</v>
      </c>
      <c r="AH22">
        <f>IF(AF22="","",MAX(0,Config!$B$16*AF22-V22-Config!$B$15))</f>
        <v>11.152315022054589</v>
      </c>
      <c r="AI22">
        <f>IF(AG22="","",MAX(0,Config!$B$16*AG22-W22-Config!$B$15))</f>
        <v>8.9932884307754382</v>
      </c>
      <c r="AJ22">
        <f>IF(AH22="","",IF(AH22&lt;=10,10,IF(AH22&gt;=10000,10000,IF(VLOOKUP(AH22,Notes!$F$2:$G$74,1,TRUE)=AH22,AH22,VLOOKUP(AH22,Notes!$F$2:$G$74,2,TRUE)))))</f>
        <v>12</v>
      </c>
      <c r="AK22">
        <f>IF(AI22="","",IF(AI22&lt;=10,10,IF(AI22&gt;=10000,10000,IF(VLOOKUP(AI22,Notes!$F$2:$G$74,1,TRUE)=AI22,AI22,VLOOKUP(AI22,Notes!$F$2:$G$74,2,TRUE)))))</f>
        <v>10</v>
      </c>
      <c r="AL22">
        <f t="shared" si="27"/>
        <v>4.1446599763514413</v>
      </c>
      <c r="AM22">
        <f t="shared" si="27"/>
        <v>5.8085745653976399</v>
      </c>
      <c r="AN22">
        <f t="shared" si="28"/>
        <v>4.1446599763514413</v>
      </c>
      <c r="AO22">
        <f t="shared" si="29"/>
        <v>11.999999999999998</v>
      </c>
      <c r="AP22">
        <f t="shared" si="30"/>
        <v>14.014598540145984</v>
      </c>
      <c r="AQ22">
        <f>IF(AO22="","",IF(MAX(AH22,AO22)&lt;=10,10,IF(MAX(AH22,AO22)&gt;=10000,10000,IF(VLOOKUP(MAX(AH22,AO22),Notes!$F$2:$G$74,1,TRUE)=MAX(AH22,AO22),MAX(AH22,AO22),VLOOKUP(MAX(AH22,AO22),Notes!$F$2:$G$74,2,TRUE)))))</f>
        <v>12</v>
      </c>
      <c r="AR22">
        <f>IF(AP22="","",IF(MAX(AI22,AP22)&lt;=10,10,IF(MAX(AI22,AP22)&gt;=10000,10000,IF(VLOOKUP(MAX(AI22,AP22),Notes!$F$2:$G$74,1,TRUE)=MAX(AI22,AP22),MAX(AI22,AP22),VLOOKUP(MAX(AI22,AP22),Notes!$F$2:$G$74,2,TRUE)))))</f>
        <v>15</v>
      </c>
      <c r="AS22">
        <f>IFERROR(P22+(L22-P22)/(1+AB22*Config!$B$12),"")</f>
        <v>80.386357381155193</v>
      </c>
      <c r="AT22">
        <f>IFERROR(Q22+(M22-Q22)/(1+AC22*Config!$B$12),"")</f>
        <v>139.00738847319366</v>
      </c>
      <c r="AU22">
        <f>IFERROR(MAX(0,MIN(TAN(RADIANS(Config!$B$21))/(2*PI()*Config!$B$20*1000*AS22*0.000000000001)-V22-Config!$B$15,SQRT(10^(Config!$B$22/10)-1)/(2*PI()*Config!$B$20*1000*AS22*0.000000000001)-V22-Config!$B$15)),"")</f>
        <v>1732.1662180352316</v>
      </c>
      <c r="AV22">
        <f>IFERROR(MAX(0,MIN(TAN(RADIANS(Config!$B$21))/(2*PI()*Config!$B$20*1000*AT22*0.000000000001)-W22-Config!$B$15,SQRT(10^(Config!$B$22/10)-1)/(2*PI()*Config!$B$20*1000*AT22*0.000000000001)-W22-Config!$B$15)),"")</f>
        <v>1001.691594784516</v>
      </c>
      <c r="AW22">
        <f>IF(AU22="","",IF(AU22&lt;10,"&lt;10",IF(AU22&gt;=10000,10000,VLOOKUP(AU22,Notes!$F$2:$G$74,1,TRUE))))</f>
        <v>1600</v>
      </c>
      <c r="AX22">
        <f>IF(AV22="","",IF(AV22&lt;10,"&lt;10",IF(AV22&gt;=10000,10000,VLOOKUP(AV22,Notes!$F$2:$G$74,1,TRUE))))</f>
        <v>1000</v>
      </c>
      <c r="AY22">
        <f>IFERROR(IF((IF(Config!$B$8="R14",Config!$B$9,Config!$B$9*CC22/CB22))&lt;=10,10,IF((IF(Config!$B$8="R14",Config!$B$9,Config!$B$9*CC22/CB22))&gt;=10000,10000,IF(ABS((IF(Config!$B$8="R14",Config!$B$9,Config!$B$9*CC22/CB22))-VLOOKUP((IF(Config!$B$8="R14",Config!$B$9,Config!$B$9*CC22/CB22)),Notes!$F$2:$G$74,1,TRUE))&lt;=ABS(VLOOKUP((IF(Config!$B$8="R14",Config!$B$9,Config!$B$9*CC22/CB22)),Notes!$F$2:$G$74,2,TRUE)-(IF(Config!$B$8="R14",Config!$B$9,Config!$B$9*CC22/CB22))),VLOOKUP((IF(Config!$B$8="R14",Config!$B$9,Config!$B$9*CC22/CB22)),Notes!$F$2:$G$74,1,TRUE),VLOOKUP((IF(Config!$B$8="R14",Config!$B$9,Config!$B$9*CC22/CB22)),Notes!$F$2:$G$74,2,TRUE)))),"")</f>
        <v>100</v>
      </c>
      <c r="AZ22">
        <f>IFERROR(IF((IF(Config!$B$8="R15",Config!$B$9,Config!$B$9*CB22/CC22))&lt;=10,10,IF((IF(Config!$B$8="R15",Config!$B$9,Config!$B$9*CB22/CC22))&gt;=10000,10000,IF(ABS((IF(Config!$B$8="R15",Config!$B$9,Config!$B$9*CB22/CC22))-VLOOKUP((IF(Config!$B$8="R15",Config!$B$9,Config!$B$9*CB22/CC22)),Notes!$F$2:$G$74,1,TRUE))&lt;=ABS(VLOOKUP((IF(Config!$B$8="R15",Config!$B$9,Config!$B$9*CB22/CC22)),Notes!$F$2:$G$74,2,TRUE)-(IF(Config!$B$8="R15",Config!$B$9,Config!$B$9*CB22/CC22))),VLOOKUP((IF(Config!$B$8="R15",Config!$B$9,Config!$B$9*CB22/CC22)),Notes!$F$2:$G$74,1,TRUE),VLOOKUP((IF(Config!$B$8="R15",Config!$B$9,Config!$B$9*CB22/CC22)),Notes!$F$2:$G$74,2,TRUE)))),"")</f>
        <v>110</v>
      </c>
      <c r="BA22" t="str">
        <f>IF(OR(AW22="&lt;10",AX22="&lt;10"),"NO",IF(AND(AY22&gt;=AJ22,AY22&lt;=AW22,AZ22&gt;=AK22,AZ22&lt;=AX22,ABS(1/(AY22*L22)-1/(AZ22*M22))/MIN(1/(AY22*L22),1/(AZ22*M22))&lt;=Config!$B$19),"YES","NO"))</f>
        <v>YES</v>
      </c>
      <c r="BB22">
        <f t="shared" si="31"/>
        <v>100</v>
      </c>
      <c r="BC22">
        <f t="shared" si="32"/>
        <v>110</v>
      </c>
      <c r="BD22" t="str">
        <f t="shared" si="33"/>
        <v>CIBLE INITIALE</v>
      </c>
      <c r="BE22">
        <f t="shared" si="34"/>
        <v>4.2573623559539052E-2</v>
      </c>
      <c r="BF22" t="str">
        <f>IF(B22="","",IF(VLOOKUP(B22,MOSFET!$A$2:$Q$13,2,FALSE)&lt;&gt;"N","NON – canal",IF(H22&lt;2*Config!$B$11*Config!$B$17,"NON – Vdss",IF(J22&lt;Config!$B$13*Config!$B$18,"NON – Id",IF(L22&gt;Config!$B$23,"NON – Ciss",IF(OR(L22="",P22="",X22="",BQ22="",R22="",T22="",Z22=""),"DONNÉES À COMPLÉTER","OK"))))))</f>
        <v>OK</v>
      </c>
      <c r="BG22" t="str">
        <f>IF(C22="","",IF(VLOOKUP(C22,MOSFET!$A$2:$Q$13,2,FALSE)&lt;&gt;"P","NON – canal",IF(I22&lt;2*Config!$B$11*Config!$B$17,"NON – Vdss",IF(K22&lt;Config!$B$13*Config!$B$18,"NON – Id",IF(M22&gt;Config!$B$23,"NON – Ciss",IF(OR(M22="",Q22="",Y22="",BR22="",S22="",U22="",AA22=""),"DONNÉES À COMPLÉTER","OK"))))))</f>
        <v>OK</v>
      </c>
      <c r="BH22" t="str">
        <f t="shared" si="35"/>
        <v>À ÉVALUER – compatibilité faible</v>
      </c>
      <c r="BI22">
        <f>IFERROR((Config!$B$34*BY22+Config!$B$35*BZ22+Config!$B$36*CA22)/Config!$B$37,"")</f>
        <v>0.88847546200226568</v>
      </c>
      <c r="BJ22">
        <f t="shared" si="36"/>
        <v>0.5</v>
      </c>
      <c r="BK22">
        <f t="shared" si="37"/>
        <v>0.62222222222222223</v>
      </c>
      <c r="BL22">
        <f t="shared" si="38"/>
        <v>0.49986647931145017</v>
      </c>
      <c r="BM22">
        <f t="shared" si="39"/>
        <v>0.56999999999999995</v>
      </c>
      <c r="BN22">
        <f t="shared" si="40"/>
        <v>0.90909090909090906</v>
      </c>
      <c r="BO22">
        <f>IFERROR((Config!$B$25*BI22+Config!$B$26*BJ22+Config!$B$27*BK22+Config!$B$28*BL22+Config!$B$29*BM22+Config!$B$30*BN22)/Config!$B$31,"")</f>
        <v>0.68276503473982142</v>
      </c>
      <c r="BP22">
        <f t="shared" si="41"/>
        <v>2</v>
      </c>
      <c r="BQ22">
        <f>IFERROR(VLOOKUP($B22,MOSFET!$A$2:$Q$13,14,FALSE),"")</f>
        <v>40</v>
      </c>
      <c r="BR22">
        <f>IFERROR(VLOOKUP($C22,MOSFET!$A$2:$Q$13,14,FALSE),"")</f>
        <v>20</v>
      </c>
      <c r="BS22">
        <f t="shared" si="42"/>
        <v>3200</v>
      </c>
      <c r="BT22">
        <f t="shared" si="42"/>
        <v>2740</v>
      </c>
      <c r="BU22">
        <f t="shared" si="43"/>
        <v>1628.5</v>
      </c>
      <c r="BV22">
        <f t="shared" si="43"/>
        <v>1420</v>
      </c>
      <c r="BW22">
        <f t="shared" si="44"/>
        <v>214.15000000000015</v>
      </c>
      <c r="BX22">
        <f t="shared" si="44"/>
        <v>232.00000000000011</v>
      </c>
      <c r="BY22">
        <f t="shared" si="45"/>
        <v>0.85624999999999996</v>
      </c>
      <c r="BZ22">
        <f t="shared" si="46"/>
        <v>0.87196806877494626</v>
      </c>
      <c r="CA22">
        <f t="shared" si="47"/>
        <v>0.92306034482758637</v>
      </c>
      <c r="CB22">
        <f>IFERROR(P22+(L22-P22)*(1-Config!$B$39),"")</f>
        <v>1628.5</v>
      </c>
      <c r="CC22">
        <f>IFERROR(Q22+(M22-Q22)*(1-Config!$B$39),"")</f>
        <v>1420</v>
      </c>
      <c r="CD22" t="str">
        <f>IF(OR(BF22&lt;&gt;"OK",BG22&lt;&gt;"OK"),"X – INADAPTÉ",IF(AND(BI22&gt;=Config!$B$42,CE22&gt;=Config!$B$43,CF22=0),"A – TRÈS BON CANDIDAT",IF(AND(BI22&gt;=Config!$B$44,CE22&gt;=Config!$B$45,CF22=0),"B – BON CANDIDAT","C – À ÉTUDIER")))</f>
        <v>A – TRÈS BON CANDIDAT</v>
      </c>
      <c r="CE22">
        <f t="shared" si="48"/>
        <v>0.90909090909090906</v>
      </c>
      <c r="CF22">
        <f>--(BJ22&lt;Config!$B$46)+--(BK22&lt;Config!$B$47)+--(BL22&lt;Config!$B$47)+--(BM22&lt;Config!$B$47)+--(BN22&lt;Config!$B$48)</f>
        <v>0</v>
      </c>
      <c r="CG22" t="str">
        <f>IF(CF22=0,"Aucune",IF(BJ22&lt;Config!$B$46,"Qgd; ","")&amp;IF(BK22&lt;Config!$B$47,"Qg; ","")&amp;IF(BL22&lt;Config!$B$47,"gm; ","")&amp;IF(BM22&lt;Config!$B$47,"Crss; ","")&amp;IF(BN22&lt;Config!$B$48,"VGS; ",""))</f>
        <v>Aucune</v>
      </c>
      <c r="CH22" t="str">
        <f t="shared" si="49"/>
        <v>NON TESTÉ</v>
      </c>
    </row>
  </sheetData>
  <mergeCells count="2">
    <mergeCell ref="A1:BB1"/>
    <mergeCell ref="A2:BB2"/>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3"/>
  <sheetViews>
    <sheetView workbookViewId="0"/>
  </sheetViews>
  <sheetFormatPr baseColWidth="10" defaultColWidth="8.83203125" defaultRowHeight="14"/>
  <cols>
    <col min="1" max="1" width="12" customWidth="1"/>
    <col min="2" max="2" width="6.1640625" customWidth="1"/>
    <col min="3" max="3" width="16.33203125" customWidth="1"/>
    <col min="4" max="4" width="19.6640625" customWidth="1"/>
    <col min="5" max="5" width="11.1640625" customWidth="1"/>
    <col min="6" max="6" width="12.1640625" customWidth="1"/>
    <col min="7" max="7" width="9.1640625" customWidth="1"/>
    <col min="8" max="8" width="9.83203125" customWidth="1"/>
    <col min="9" max="9" width="9.33203125" customWidth="1"/>
    <col min="10" max="10" width="9.83203125" customWidth="1"/>
    <col min="11" max="11" width="11.6640625" customWidth="1"/>
    <col min="12" max="12" width="10.33203125" customWidth="1"/>
    <col min="13" max="13" width="8.1640625" customWidth="1"/>
    <col min="14" max="14" width="9.33203125" customWidth="1"/>
    <col min="15" max="15" width="54.83203125" customWidth="1"/>
    <col min="16" max="16" width="13.33203125" customWidth="1"/>
    <col min="17" max="17" width="109" customWidth="1"/>
  </cols>
  <sheetData>
    <row r="1" spans="1:17" ht="32">
      <c r="A1" s="1" t="s">
        <v>170</v>
      </c>
      <c r="B1" s="1" t="s">
        <v>171</v>
      </c>
      <c r="C1" s="1" t="s">
        <v>172</v>
      </c>
      <c r="D1" s="1" t="s">
        <v>173</v>
      </c>
      <c r="E1" s="1" t="s">
        <v>174</v>
      </c>
      <c r="F1" s="1" t="s">
        <v>175</v>
      </c>
      <c r="G1" s="1" t="s">
        <v>176</v>
      </c>
      <c r="H1" s="1" t="s">
        <v>177</v>
      </c>
      <c r="I1" s="1" t="s">
        <v>178</v>
      </c>
      <c r="J1" s="1" t="s">
        <v>179</v>
      </c>
      <c r="K1" s="1" t="s">
        <v>180</v>
      </c>
      <c r="L1" s="1" t="s">
        <v>181</v>
      </c>
      <c r="M1" s="1" t="s">
        <v>182</v>
      </c>
      <c r="N1" s="1" t="s">
        <v>183</v>
      </c>
      <c r="O1" s="1" t="s">
        <v>184</v>
      </c>
      <c r="P1" s="1" t="s">
        <v>185</v>
      </c>
      <c r="Q1" s="1" t="s">
        <v>186</v>
      </c>
    </row>
    <row r="2" spans="1:17" ht="15">
      <c r="A2" s="2" t="s">
        <v>31</v>
      </c>
      <c r="B2" s="2" t="s">
        <v>187</v>
      </c>
      <c r="C2" s="2" t="s">
        <v>188</v>
      </c>
      <c r="D2" s="2" t="s">
        <v>189</v>
      </c>
      <c r="E2" s="2">
        <v>150</v>
      </c>
      <c r="F2" s="2">
        <v>50</v>
      </c>
      <c r="G2" s="2">
        <v>2500</v>
      </c>
      <c r="H2" s="2">
        <v>520</v>
      </c>
      <c r="I2" s="2">
        <v>100</v>
      </c>
      <c r="J2" s="2">
        <v>36</v>
      </c>
      <c r="K2" s="2">
        <v>25</v>
      </c>
      <c r="L2" s="2">
        <v>0</v>
      </c>
      <c r="M2" s="2">
        <v>85</v>
      </c>
      <c r="N2" s="2">
        <v>41</v>
      </c>
      <c r="O2" s="2" t="s">
        <v>190</v>
      </c>
      <c r="P2" s="2">
        <v>4.2</v>
      </c>
      <c r="Q2" s="2" t="s">
        <v>191</v>
      </c>
    </row>
    <row r="3" spans="1:17" ht="15">
      <c r="A3" s="2" t="s">
        <v>32</v>
      </c>
      <c r="B3" s="2" t="s">
        <v>192</v>
      </c>
      <c r="C3" s="2" t="s">
        <v>188</v>
      </c>
      <c r="D3" s="2" t="s">
        <v>189</v>
      </c>
      <c r="E3" s="2">
        <v>150</v>
      </c>
      <c r="F3" s="2">
        <v>36</v>
      </c>
      <c r="G3" s="2">
        <v>2550</v>
      </c>
      <c r="H3" s="2">
        <v>710</v>
      </c>
      <c r="I3" s="2">
        <v>110</v>
      </c>
      <c r="J3" s="2">
        <v>19.5</v>
      </c>
      <c r="K3" s="2">
        <v>18</v>
      </c>
      <c r="L3" s="2">
        <v>0</v>
      </c>
      <c r="M3" s="2">
        <v>81</v>
      </c>
      <c r="N3" s="2">
        <v>42</v>
      </c>
      <c r="O3" s="2" t="s">
        <v>193</v>
      </c>
      <c r="P3" s="2">
        <v>4.3</v>
      </c>
      <c r="Q3" s="2" t="s">
        <v>191</v>
      </c>
    </row>
    <row r="4" spans="1:17" ht="45">
      <c r="A4" s="2" t="s">
        <v>38</v>
      </c>
      <c r="B4" s="2" t="s">
        <v>187</v>
      </c>
      <c r="C4" s="2" t="s">
        <v>194</v>
      </c>
      <c r="D4" s="2" t="s">
        <v>189</v>
      </c>
      <c r="E4" s="2">
        <v>300</v>
      </c>
      <c r="F4" s="2">
        <v>36</v>
      </c>
      <c r="G4" s="2">
        <v>2250</v>
      </c>
      <c r="H4" s="2">
        <v>370</v>
      </c>
      <c r="I4" s="2">
        <v>90</v>
      </c>
      <c r="J4" s="2">
        <v>22</v>
      </c>
      <c r="K4" s="2">
        <v>18</v>
      </c>
      <c r="L4" s="2">
        <v>0</v>
      </c>
      <c r="M4" s="2">
        <v>70</v>
      </c>
      <c r="N4" s="2">
        <v>35</v>
      </c>
      <c r="O4" s="2" t="s">
        <v>195</v>
      </c>
      <c r="P4" s="2">
        <v>5.7</v>
      </c>
      <c r="Q4" s="2" t="s">
        <v>196</v>
      </c>
    </row>
    <row r="5" spans="1:17" ht="45">
      <c r="A5" s="2" t="s">
        <v>44</v>
      </c>
      <c r="B5" s="2" t="s">
        <v>192</v>
      </c>
      <c r="C5" s="2" t="s">
        <v>194</v>
      </c>
      <c r="D5" s="2" t="s">
        <v>189</v>
      </c>
      <c r="E5" s="2">
        <v>150</v>
      </c>
      <c r="F5" s="2">
        <v>36</v>
      </c>
      <c r="G5" s="2">
        <v>3100</v>
      </c>
      <c r="H5" s="2">
        <v>610</v>
      </c>
      <c r="I5" s="2">
        <v>100</v>
      </c>
      <c r="J5" s="2">
        <v>19</v>
      </c>
      <c r="K5" s="2">
        <v>18</v>
      </c>
      <c r="L5" s="2">
        <v>0</v>
      </c>
      <c r="M5" s="2">
        <v>55</v>
      </c>
      <c r="N5" s="2">
        <v>18</v>
      </c>
      <c r="O5" s="2" t="s">
        <v>197</v>
      </c>
      <c r="P5" s="2">
        <v>4.8</v>
      </c>
      <c r="Q5" s="2" t="s">
        <v>196</v>
      </c>
    </row>
    <row r="6" spans="1:17" ht="45">
      <c r="A6" s="2" t="s">
        <v>52</v>
      </c>
      <c r="B6" s="2" t="s">
        <v>187</v>
      </c>
      <c r="C6" s="2" t="s">
        <v>194</v>
      </c>
      <c r="D6" s="2" t="s">
        <v>189</v>
      </c>
      <c r="E6" s="2">
        <v>200</v>
      </c>
      <c r="F6" s="2">
        <v>50</v>
      </c>
      <c r="G6" s="2">
        <v>2720</v>
      </c>
      <c r="H6" s="2">
        <v>490</v>
      </c>
      <c r="I6" s="2">
        <v>105</v>
      </c>
      <c r="J6" s="2">
        <v>23</v>
      </c>
      <c r="K6" s="2">
        <v>25</v>
      </c>
      <c r="L6" s="2">
        <v>0</v>
      </c>
      <c r="M6" s="2">
        <v>70</v>
      </c>
      <c r="N6" s="2">
        <v>37</v>
      </c>
      <c r="O6" s="2" t="s">
        <v>198</v>
      </c>
      <c r="P6" s="2">
        <v>5.8</v>
      </c>
      <c r="Q6" s="2" t="s">
        <v>196</v>
      </c>
    </row>
    <row r="7" spans="1:17" ht="45">
      <c r="A7" s="2" t="s">
        <v>199</v>
      </c>
      <c r="B7" s="2" t="s">
        <v>192</v>
      </c>
      <c r="C7" s="2" t="s">
        <v>194</v>
      </c>
      <c r="D7" s="2" t="s">
        <v>189</v>
      </c>
      <c r="E7" s="2">
        <v>100</v>
      </c>
      <c r="F7" s="2">
        <v>52</v>
      </c>
      <c r="G7" s="2">
        <v>2845</v>
      </c>
      <c r="H7" s="2">
        <v>1015</v>
      </c>
      <c r="I7" s="2">
        <v>275</v>
      </c>
      <c r="J7" s="2">
        <v>20</v>
      </c>
      <c r="K7" s="2">
        <v>26</v>
      </c>
      <c r="L7" s="2">
        <v>0</v>
      </c>
      <c r="M7" s="2">
        <v>60</v>
      </c>
      <c r="N7" s="2">
        <v>23</v>
      </c>
      <c r="O7" s="2" t="s">
        <v>200</v>
      </c>
      <c r="P7" s="2"/>
      <c r="Q7" s="2" t="s">
        <v>201</v>
      </c>
    </row>
    <row r="8" spans="1:17" ht="45">
      <c r="A8" s="2" t="s">
        <v>57</v>
      </c>
      <c r="B8" s="2" t="s">
        <v>192</v>
      </c>
      <c r="C8" s="2" t="s">
        <v>194</v>
      </c>
      <c r="D8" s="2" t="s">
        <v>189</v>
      </c>
      <c r="E8" s="2">
        <v>200</v>
      </c>
      <c r="F8" s="2">
        <v>26</v>
      </c>
      <c r="G8" s="2">
        <v>2740</v>
      </c>
      <c r="H8" s="2">
        <v>540</v>
      </c>
      <c r="I8" s="2">
        <v>100</v>
      </c>
      <c r="J8" s="2">
        <v>17</v>
      </c>
      <c r="K8" s="2">
        <v>13</v>
      </c>
      <c r="L8" s="2">
        <v>0</v>
      </c>
      <c r="M8" s="2">
        <v>56</v>
      </c>
      <c r="N8" s="2">
        <v>20</v>
      </c>
      <c r="O8" s="2" t="s">
        <v>202</v>
      </c>
      <c r="P8" s="2">
        <v>4.4000000000000004</v>
      </c>
      <c r="Q8" s="2" t="s">
        <v>203</v>
      </c>
    </row>
    <row r="9" spans="1:17" ht="15">
      <c r="A9" s="2" t="s">
        <v>204</v>
      </c>
      <c r="B9" s="2" t="s">
        <v>187</v>
      </c>
      <c r="C9" s="2" t="s">
        <v>188</v>
      </c>
      <c r="D9" s="2" t="s">
        <v>189</v>
      </c>
      <c r="E9" s="2">
        <v>250</v>
      </c>
      <c r="F9" s="2">
        <v>69</v>
      </c>
      <c r="G9" s="2">
        <v>3570</v>
      </c>
      <c r="H9" s="2">
        <v>750</v>
      </c>
      <c r="I9" s="2">
        <v>84</v>
      </c>
      <c r="J9" s="2">
        <v>25</v>
      </c>
      <c r="K9" s="2">
        <v>34.5</v>
      </c>
      <c r="L9" s="2">
        <v>0</v>
      </c>
      <c r="M9" s="2">
        <v>77</v>
      </c>
      <c r="N9" s="2">
        <v>37</v>
      </c>
      <c r="O9" s="2" t="s">
        <v>205</v>
      </c>
      <c r="P9" s="2"/>
      <c r="Q9" s="2" t="s">
        <v>206</v>
      </c>
    </row>
    <row r="10" spans="1:17" ht="15">
      <c r="A10" s="2" t="s">
        <v>207</v>
      </c>
      <c r="B10" s="2" t="s">
        <v>187</v>
      </c>
      <c r="C10" s="2" t="s">
        <v>188</v>
      </c>
      <c r="D10" s="2" t="s">
        <v>189</v>
      </c>
      <c r="E10" s="2">
        <v>300</v>
      </c>
      <c r="F10" s="2">
        <v>59</v>
      </c>
      <c r="G10" s="2">
        <v>3590</v>
      </c>
      <c r="H10" s="2">
        <v>710</v>
      </c>
      <c r="I10" s="2">
        <v>80</v>
      </c>
      <c r="J10" s="2">
        <v>52</v>
      </c>
      <c r="K10" s="2">
        <v>29.5</v>
      </c>
      <c r="L10" s="2">
        <v>0</v>
      </c>
      <c r="M10" s="2">
        <v>77</v>
      </c>
      <c r="N10" s="2">
        <v>40</v>
      </c>
      <c r="O10" s="2" t="s">
        <v>208</v>
      </c>
      <c r="P10" s="2"/>
      <c r="Q10" s="2" t="s">
        <v>206</v>
      </c>
    </row>
    <row r="11" spans="1:17" ht="45">
      <c r="A11" s="2" t="s">
        <v>64</v>
      </c>
      <c r="B11" s="2" t="s">
        <v>187</v>
      </c>
      <c r="C11" s="2" t="s">
        <v>194</v>
      </c>
      <c r="D11" s="2" t="s">
        <v>189</v>
      </c>
      <c r="E11" s="2">
        <v>200</v>
      </c>
      <c r="F11" s="2">
        <v>74</v>
      </c>
      <c r="G11" s="2">
        <v>3300</v>
      </c>
      <c r="H11" s="2">
        <v>800</v>
      </c>
      <c r="I11" s="2">
        <v>190</v>
      </c>
      <c r="J11" s="2">
        <v>44</v>
      </c>
      <c r="K11" s="2">
        <v>37</v>
      </c>
      <c r="L11" s="2">
        <v>0</v>
      </c>
      <c r="M11" s="2">
        <v>107</v>
      </c>
      <c r="N11" s="2">
        <v>52</v>
      </c>
      <c r="O11" s="2" t="s">
        <v>209</v>
      </c>
      <c r="P11" s="2">
        <v>4.5999999999999996</v>
      </c>
      <c r="Q11" s="2" t="s">
        <v>210</v>
      </c>
    </row>
    <row r="12" spans="1:17">
      <c r="A12" t="s">
        <v>71</v>
      </c>
      <c r="B12" t="s">
        <v>187</v>
      </c>
      <c r="C12" t="s">
        <v>188</v>
      </c>
      <c r="D12" t="s">
        <v>211</v>
      </c>
      <c r="E12">
        <v>300</v>
      </c>
      <c r="F12">
        <v>38</v>
      </c>
      <c r="G12">
        <v>2600</v>
      </c>
      <c r="H12">
        <v>500</v>
      </c>
      <c r="I12">
        <v>60</v>
      </c>
      <c r="J12">
        <v>34</v>
      </c>
      <c r="K12">
        <v>19</v>
      </c>
      <c r="L12">
        <v>0</v>
      </c>
      <c r="M12">
        <v>60</v>
      </c>
      <c r="N12">
        <v>28</v>
      </c>
      <c r="O12" t="s">
        <v>212</v>
      </c>
      <c r="P12">
        <v>5.5</v>
      </c>
      <c r="Q12" t="s">
        <v>213</v>
      </c>
    </row>
    <row r="13" spans="1:17">
      <c r="A13" t="s">
        <v>78</v>
      </c>
      <c r="B13" t="s">
        <v>187</v>
      </c>
      <c r="C13" t="s">
        <v>214</v>
      </c>
      <c r="D13" t="s">
        <v>215</v>
      </c>
      <c r="E13">
        <v>300</v>
      </c>
      <c r="F13">
        <v>42</v>
      </c>
      <c r="G13">
        <v>3200</v>
      </c>
      <c r="H13">
        <v>442</v>
      </c>
      <c r="I13">
        <v>57</v>
      </c>
      <c r="J13">
        <v>55</v>
      </c>
      <c r="K13">
        <v>34</v>
      </c>
      <c r="L13">
        <v>0</v>
      </c>
      <c r="M13">
        <v>90</v>
      </c>
      <c r="N13">
        <v>40</v>
      </c>
      <c r="O13" t="s">
        <v>216</v>
      </c>
      <c r="P13">
        <v>4</v>
      </c>
      <c r="Q13" t="s">
        <v>217</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4"/>
  <sheetViews>
    <sheetView workbookViewId="0"/>
  </sheetViews>
  <sheetFormatPr baseColWidth="10" defaultColWidth="8.83203125" defaultRowHeight="14"/>
  <cols>
    <col min="1" max="1" width="28" customWidth="1"/>
    <col min="2" max="4" width="55" customWidth="1"/>
    <col min="6" max="6" width="12" customWidth="1"/>
    <col min="7" max="7" width="14" customWidth="1"/>
  </cols>
  <sheetData>
    <row r="1" spans="1:7" ht="18">
      <c r="A1" s="92" t="str">
        <f>IF(Config!$B$3="FR","Q17-Mini — Méthode 1.1b2 : paire d’abord, Rgate ensuite","Q17-Mini — Method 1.1b2: pair first, Rgate second")</f>
        <v>Q17-Mini — Method 1.1b2: pair first, Rgate second</v>
      </c>
      <c r="B1" s="92"/>
      <c r="C1" s="92"/>
      <c r="D1" s="92"/>
      <c r="F1" s="1" t="s">
        <v>218</v>
      </c>
      <c r="G1" s="1" t="s">
        <v>219</v>
      </c>
    </row>
    <row r="2" spans="1:7" ht="45">
      <c r="A2" s="2" t="str">
        <f>IF(Config!$B$3="FR","Principe 1.1b2","1.1b2 principle")</f>
        <v>1.1b2 principle</v>
      </c>
      <c r="B2" s="2" t="str">
        <f>IF(Config!$B$3="FR","Le moteur suit désormais trois niveaux : aptitude individuelle du MOSFET, compatibilité intrinsèque de la paire Q15/Q16, puis R14/R15 initiales.","The engine now follows three levels: individual MOSFET suitability, intrinsic Q15/Q16 pair compatibility, then initial R14/R15.")</f>
        <v>The engine now follows three levels: individual MOSFET suitability, intrinsic Q15/Q16 pair compatibility, then initial R14/R15.</v>
      </c>
      <c r="C2" s="2"/>
      <c r="D2" s="2"/>
      <c r="F2">
        <v>10</v>
      </c>
      <c r="G2">
        <v>11</v>
      </c>
    </row>
    <row r="3" spans="1:7" ht="30">
      <c r="A3" s="2" t="str">
        <f>IF(Config!$B$3="FR","Niveau 1","Level 1")</f>
        <v>Level 1</v>
      </c>
      <c r="B3" s="2" t="str">
        <f>IF(Config!$B$3="FR","APTITUDE MOSFET","MOSFET SUITABILITY")</f>
        <v>MOSFET SUITABILITY</v>
      </c>
      <c r="C3" s="2" t="str">
        <f>IF(Config!$B$3="FR","Vdss, Id, Ciss, canal et disponibilité des données dynamiques nécessaires.","Vdss, Id, Ciss, channel type and availability of the required dynamic data.")</f>
        <v>Vdss, Id, Ciss, channel type and availability of the required dynamic data.</v>
      </c>
      <c r="D3" s="2" t="str">
        <f>IF(Config!$B$3="FR","Éliminatoire avant classement de paire.","Eliminatory before pair classification.")</f>
        <v>Eliminatory before pair classification.</v>
      </c>
      <c r="F3">
        <v>11</v>
      </c>
      <c r="G3">
        <v>12</v>
      </c>
    </row>
    <row r="4" spans="1:7" ht="15">
      <c r="A4" s="2" t="str">
        <f>IF(Config!$B$3="FR","Niveau 2","Level 2")</f>
        <v>Level 2</v>
      </c>
      <c r="B4" s="2" t="str">
        <f>IF(Config!$B$3="FR","COMPATIBILITÉ DE PAIRE","PAIR COMPATIBILITY")</f>
        <v>PAIR COMPATIBILITY</v>
      </c>
      <c r="C4" s="2" t="str">
        <f>IF(Config!$B$3="FR","Profil Ceff, Qgd, Qg, gm, Crss et VGS.","Ceff profile, Qgd, Qg, gm, Crss and VGS.")</f>
        <v>Ceff profile, Qgd, Qg, gm, Crss and VGS.</v>
      </c>
      <c r="D4" s="2" t="str">
        <f>IF(Config!$B$3="FR","Indépendant de R14/R15.","Independent of R14/R15.")</f>
        <v>Independent of R14/R15.</v>
      </c>
      <c r="F4">
        <v>12</v>
      </c>
      <c r="G4">
        <v>13</v>
      </c>
    </row>
    <row r="5" spans="1:7" ht="30">
      <c r="A5" s="2" t="str">
        <f>IF(Config!$B$3="FR","Niveau 3","Level 3")</f>
        <v>Level 3</v>
      </c>
      <c r="B5" s="2" t="str">
        <f>IF(Config!$B$3="FR","R14 / R15 INITIALES","INITIAL R14 / R15")</f>
        <v>INITIAL R14 / R15</v>
      </c>
      <c r="C5" s="2" t="str">
        <f>IF(Config!$B$3="FR","Légère compensation après sélection de la paire ; Ceff au Av de référence remplace Ciss brute pour l’accord initial.","Small compensation after pair selection; Ceff at the reference Av replaces raw Ciss for the initial matching.")</f>
        <v>Small compensation after pair selection; Ceff at the reference Av replaces raw Ciss for the initial matching.</v>
      </c>
      <c r="D5" s="2" t="str">
        <f>IF(Config!$B$3="FR","Validation finale au scope obligatoire.","Final oscilloscope validation is mandatory.")</f>
        <v>Final oscilloscope validation is mandatory.</v>
      </c>
      <c r="F5">
        <v>13</v>
      </c>
      <c r="G5">
        <v>15</v>
      </c>
    </row>
    <row r="6" spans="1:7" ht="30">
      <c r="A6" s="2" t="s">
        <v>220</v>
      </c>
      <c r="B6" s="2" t="s">
        <v>221</v>
      </c>
      <c r="C6" s="2" t="str">
        <f>IF(Config!$B$3="FR","Av = gain source/grille local du follower.","Av = local source/gate gain of the follower.")</f>
        <v>Av = local source/gate gain of the follower.</v>
      </c>
      <c r="D6" s="2" t="str">
        <f>IF(Config!$B$3="FR","Modèle simplifié destiné au classement comparatif, pas à reproduire exactement les capacités non linéaires.","Simplified model intended for comparative ranking, not for exactly reproducing nonlinear capacitances.")</f>
        <v>Simplified model intended for comparative ranking, not for exactly reproducing nonlinear capacitances.</v>
      </c>
      <c r="F6">
        <v>15</v>
      </c>
      <c r="G6">
        <v>16</v>
      </c>
    </row>
    <row r="7" spans="1:7" ht="15">
      <c r="A7" s="2" t="str">
        <f>IF(Config!$B$3="FR","États Ceff par défaut","Default Ceff states")</f>
        <v>Default Ceff states</v>
      </c>
      <c r="B7" s="2" t="str">
        <f>IF(Config!$B$3="FR","Av = 0 ; 0,50 ; 0,95","Av = 0; 0.50; 0.95")</f>
        <v>Av = 0; 0.50; 0.95</v>
      </c>
      <c r="C7" s="2" t="str">
        <f>IF(Config!$B$3="FR","Début de transition, état intermédiaire, follower actif.","Start of transition, intermediate state, active follower.")</f>
        <v>Start of transition, intermediate state, active follower.</v>
      </c>
      <c r="D7" s="2" t="str">
        <f>IF(Config!$B$3="FR","Poids configurables dans Config.","Weights are configurable in Config.")</f>
        <v>Weights are configurable in Config.</v>
      </c>
      <c r="F7">
        <v>16</v>
      </c>
      <c r="G7">
        <v>18</v>
      </c>
    </row>
    <row r="8" spans="1:7" ht="16">
      <c r="A8" s="1" t="str">
        <f>IF(Config!$B$3="FR","Étape","Step")</f>
        <v>Step</v>
      </c>
      <c r="B8" s="1" t="str">
        <f>IF(Config!$B$3="FR","Formule / principe","Formula / principle")</f>
        <v>Formula / principle</v>
      </c>
      <c r="C8" s="1" t="str">
        <f>IF(Config!$B$3="FR","Rôle","Role")</f>
        <v>Role</v>
      </c>
      <c r="D8" s="1" t="str">
        <f>IF(Config!$B$3="FR","Limite","Limit")</f>
        <v>Limit</v>
      </c>
      <c r="F8">
        <v>18</v>
      </c>
      <c r="G8">
        <v>20</v>
      </c>
    </row>
    <row r="9" spans="1:7" ht="15">
      <c r="A9" s="2" t="s">
        <v>222</v>
      </c>
      <c r="B9" s="2" t="s">
        <v>223</v>
      </c>
      <c r="C9" s="2" t="str">
        <f>IF(Config!$B$3="FR","Estimation locale du gm.","Local gm estimate.")</f>
        <v>Local gm estimate.</v>
      </c>
      <c r="D9" s="2" t="str">
        <f>IF(Config!$B$3="FR","Approximation basée sur valeurs typiques fabricant.","Approximation based on typical manufacturer values.")</f>
        <v>Approximation based on typical manufacturer values.</v>
      </c>
      <c r="F9">
        <v>20</v>
      </c>
      <c r="G9">
        <v>22</v>
      </c>
    </row>
    <row r="10" spans="1:7" ht="15">
      <c r="A10" s="2" t="s">
        <v>224</v>
      </c>
      <c r="B10" s="2" t="s">
        <v>225</v>
      </c>
      <c r="C10" s="2" t="str">
        <f>IF(Config!$B$3="FR","Résonance locale estimée.","Estimated local resonance.")</f>
        <v>Estimated local resonance.</v>
      </c>
      <c r="D10" s="2" t="str">
        <f>IF(Config!$B$3="FR","Dépend de la boucle réelle et du point de fonctionnement.","Depends on the actual loop and operating point.")</f>
        <v>Depends on the actual loop and operating point.</v>
      </c>
      <c r="F10">
        <v>22</v>
      </c>
      <c r="G10">
        <v>24</v>
      </c>
    </row>
    <row r="11" spans="1:7" ht="15">
      <c r="A11" s="2" t="s">
        <v>226</v>
      </c>
      <c r="B11" s="2" t="s">
        <v>227</v>
      </c>
      <c r="C11" s="2" t="str">
        <f>IF(Config!$B$3="FR","Estimation de la résistance d’entrée négative.","Estimated negative input resistance.")</f>
        <v>Estimated negative input resistance.</v>
      </c>
      <c r="D11" s="2" t="str">
        <f>IF(Config!$B$3="FR","Modèle petit signal.","Small-signal model.")</f>
        <v>Small-signal model.</v>
      </c>
      <c r="F11">
        <v>24</v>
      </c>
      <c r="G11">
        <v>27</v>
      </c>
    </row>
    <row r="12" spans="1:7" ht="15">
      <c r="A12" s="2" t="s">
        <v>228</v>
      </c>
      <c r="B12" s="2" t="str">
        <f>IF(Config!$B$3="FR","Rext,min = MAX(0 ; marge·Rneg − Rg,int − Rdriver)","Rext,min = MAX(0 ; margin·Rneg − Rg,int − Rdriver)")</f>
        <v>Rext,min = MAX(0 ; margin·Rneg − Rg,int − Rdriver)</v>
      </c>
      <c r="C12" s="2" t="str">
        <f>IF(Config!$B$3="FR","Borne basse théorique.","Theoretical lower bound.")</f>
        <v>Theoretical lower bound.</v>
      </c>
      <c r="D12" s="2" t="str">
        <f>IF(Config!$B$3="FR","Ne garantit pas la stabilité absolue.","Does not guarantee absolute stability.")</f>
        <v>Does not guarantee absolute stability.</v>
      </c>
      <c r="F12">
        <v>27</v>
      </c>
      <c r="G12">
        <v>30</v>
      </c>
    </row>
    <row r="13" spans="1:7" ht="15">
      <c r="A13" s="2" t="s">
        <v>229</v>
      </c>
      <c r="B13" s="2" t="s">
        <v>230</v>
      </c>
      <c r="C13" s="2" t="str">
        <f>IF(Config!$B$3="FR","Capacité dynamique du follower.","Dynamic follower capacitance.")</f>
        <v>Dynamic follower capacitance.</v>
      </c>
      <c r="D13" s="2" t="str">
        <f>IF(Config!$B$3="FR","Modèle simplifié ; la valeur réelle varie avec Vds/Vgs.","Simplified model; the actual value varies with Vds/Vgs.")</f>
        <v>Simplified model; the actual value varies with Vds/Vgs.</v>
      </c>
      <c r="F13">
        <v>30</v>
      </c>
      <c r="G13">
        <v>33</v>
      </c>
    </row>
    <row r="14" spans="1:7" ht="15">
      <c r="A14" s="2" t="s">
        <v>231</v>
      </c>
      <c r="B14" s="2" t="str">
        <f>IF(Config!$B$3="FR","Rext,max = MIN(limite phase ; limite amplitude)","Rext,max = MIN(phase limit ; amplitude limit)")</f>
        <v>Rext,max = MIN(phase limit ; amplitude limit)</v>
      </c>
      <c r="C14" s="2" t="str">
        <f>IF(Config!$B$3="FR","Borne haute de performance HF.","HF performance upper bound.")</f>
        <v>HF performance upper bound.</v>
      </c>
      <c r="D14" s="2" t="str">
        <f>IF(Config!$B$3="FR","Objectif de conception, pas limite absolue.","Design objective, not an absolute limit.")</f>
        <v>Design objective, not an absolute limit.</v>
      </c>
      <c r="F14">
        <v>33</v>
      </c>
      <c r="G14">
        <v>36</v>
      </c>
    </row>
    <row r="15" spans="1:7" ht="15">
      <c r="A15" s="2" t="s">
        <v>232</v>
      </c>
      <c r="B15" s="2" t="str">
        <f>IF(Config!$B$3="FR","R14/R15 initiales","Initial R14/R15")</f>
        <v>Initial R14/R15</v>
      </c>
      <c r="C15" s="2" t="str">
        <f>IF(Config!$B$3="FR","Cible de départ ou calcul théorique, arrondis E24.","Starting target or theoretical calculation, rounded to E24.")</f>
        <v>Starting target or theoretical calculation, rounded to E24.</v>
      </c>
      <c r="D15" s="2" t="str">
        <f>IF(Config!$B$3="FR","Validation finale obligatoire au scope.","Final oscilloscope validation is mandatory.")</f>
        <v>Final oscilloscope validation is mandatory.</v>
      </c>
      <c r="F15">
        <v>36</v>
      </c>
      <c r="G15">
        <v>39</v>
      </c>
    </row>
    <row r="16" spans="1:7">
      <c r="A16" s="2"/>
      <c r="B16" s="2"/>
      <c r="C16" s="2"/>
      <c r="D16" s="2"/>
      <c r="F16">
        <v>39</v>
      </c>
      <c r="G16">
        <v>43</v>
      </c>
    </row>
    <row r="17" spans="1:7" ht="16">
      <c r="A17" s="1" t="str">
        <f>IF(Config!$B$3="FR","Référence","Reference")</f>
        <v>Reference</v>
      </c>
      <c r="B17" s="1" t="str">
        <f>IF(Config!$B$3="FR","Auteur / fabricant","Author / manufacturer")</f>
        <v>Author / manufacturer</v>
      </c>
      <c r="C17" s="1" t="str">
        <f>IF(Config!$B$3="FR","Lien","Link")</f>
        <v>Link</v>
      </c>
      <c r="D17" s="1" t="str">
        <f>IF(Config!$B$3="FR","Utilisation","Use")</f>
        <v>Use</v>
      </c>
      <c r="F17">
        <v>43</v>
      </c>
      <c r="G17">
        <v>47</v>
      </c>
    </row>
    <row r="18" spans="1:7" ht="30">
      <c r="A18" s="2" t="s">
        <v>233</v>
      </c>
      <c r="B18" s="2" t="s">
        <v>234</v>
      </c>
      <c r="C18" s="2" t="s">
        <v>235</v>
      </c>
      <c r="D18" s="2" t="str">
        <f>IF(Config!$B$3="FR","Rgate, pôles de grille, validation expérimentale.","Rgate, gate poles, experimental validation.")</f>
        <v>Rgate, gate poles, experimental validation.</v>
      </c>
      <c r="F18">
        <v>47</v>
      </c>
      <c r="G18">
        <v>51</v>
      </c>
    </row>
    <row r="19" spans="1:7" ht="30">
      <c r="A19" s="2" t="s">
        <v>236</v>
      </c>
      <c r="B19" s="2" t="s">
        <v>237</v>
      </c>
      <c r="C19" s="2" t="s">
        <v>238</v>
      </c>
      <c r="D19" s="2" t="str">
        <f>IF(Config!$B$3="FR","Principe du current-dumping.","Current-dumping principle.")</f>
        <v>Current-dumping principle.</v>
      </c>
      <c r="F19">
        <v>51</v>
      </c>
      <c r="G19">
        <v>56</v>
      </c>
    </row>
    <row r="20" spans="1:7" ht="15">
      <c r="A20" s="2" t="str">
        <f>IF(Config!$B$3="FR","Fiches techniques","Datasheets")</f>
        <v>Datasheets</v>
      </c>
      <c r="B20" s="2" t="s">
        <v>239</v>
      </c>
      <c r="C20" s="2" t="str">
        <f>IF(Config!$B$3="FR","Voir feuille MOSFET","See MOSFET sheet")</f>
        <v>See MOSFET sheet</v>
      </c>
      <c r="D20" s="2" t="str">
        <f>IF(Config!$B$3="FR","Toutes les caractéristiques composants utilisées dans les calculs.","All component characteristics used in the calculations.")</f>
        <v>All component characteristics used in the calculations.</v>
      </c>
      <c r="F20">
        <v>56</v>
      </c>
      <c r="G20">
        <v>62</v>
      </c>
    </row>
    <row r="21" spans="1:7">
      <c r="A21" s="2"/>
      <c r="B21" s="2"/>
      <c r="C21" s="2"/>
      <c r="D21" s="2"/>
      <c r="F21">
        <v>62</v>
      </c>
      <c r="G21">
        <v>68</v>
      </c>
    </row>
    <row r="22" spans="1:7" ht="16">
      <c r="A22" s="6" t="str">
        <f>IF(Config!$B$3="FR","Historique","History")</f>
        <v>History</v>
      </c>
      <c r="B22" s="6"/>
      <c r="C22" s="6"/>
      <c r="D22" s="6"/>
      <c r="F22">
        <v>68</v>
      </c>
      <c r="G22">
        <v>75</v>
      </c>
    </row>
    <row r="23" spans="1:7" ht="30">
      <c r="A23" s="2" t="s">
        <v>240</v>
      </c>
      <c r="B23" s="2" t="str">
        <f>IF(Config!$B$3="FR","Objectif recentré sur la compatibilité Q15/Q16 et les valeurs initiales R14/R15.","Objective refocused on Q15/Q16 compatibility and initial R14/R15 values.")</f>
        <v>Objective refocused on Q15/Q16 compatibility and initial R14/R15 values.</v>
      </c>
      <c r="C23" s="2" t="str">
        <f>IF(Config!$B$3="FR","S5 n’est plus marqué validé à 100/100 Ω.","S5 is no longer marked as validated at 100/100 Ω.")</f>
        <v>S5 is no longer marked as validated at 100/100 Ω.</v>
      </c>
      <c r="D23" s="2" t="str">
        <f>IF(Config!$B$3="FR","Essais connus S5 : 330/270, 47/47 et 330/47 Ω ; aucune valeur finale déclarée.","Known S5 tests: 330/270, 47/47 and 330/47 Ω; no final value declared.")</f>
        <v>Known S5 tests: 330/270, 47/47 and 330/47 Ω; no final value declared.</v>
      </c>
      <c r="F23">
        <v>75</v>
      </c>
      <c r="G23">
        <v>82</v>
      </c>
    </row>
    <row r="24" spans="1:7">
      <c r="A24" s="2"/>
      <c r="B24" s="2"/>
      <c r="C24" s="2"/>
      <c r="D24" s="2"/>
      <c r="F24">
        <v>82</v>
      </c>
      <c r="G24">
        <v>91</v>
      </c>
    </row>
    <row r="25" spans="1:7" ht="30">
      <c r="A25" s="2" t="str">
        <f>IF(Config!$B$3="FR","CRITÈRES DU SCORE DE PAIRE 1.1b2","PAIR SCORE CRITERIA 1.1b2")</f>
        <v>PAIR SCORE CRITERIA 1.1b2</v>
      </c>
      <c r="B25" s="2"/>
      <c r="C25" s="2"/>
      <c r="D25" s="2"/>
      <c r="F25">
        <v>91</v>
      </c>
      <c r="G25">
        <v>100</v>
      </c>
    </row>
    <row r="26" spans="1:7" ht="15">
      <c r="A26" s="2" t="s">
        <v>241</v>
      </c>
      <c r="B26" s="2" t="s">
        <v>242</v>
      </c>
      <c r="C26" s="2" t="str">
        <f>IF(Config!$B$3="FR","Moyenne pondérée des similitudes N/P aux trois valeurs de Av.","Weighted average of N/P similarities at the three Av values.")</f>
        <v>Weighted average of N/P similarities at the three Av values.</v>
      </c>
      <c r="D26" s="2" t="str">
        <f>IF(Config!$B$3="FR","Critère principal du comportement capacitif selon l’état du dumper.","Main capacitive-behavior criterion depending on dumper state.")</f>
        <v>Main capacitive-behavior criterion depending on dumper state.</v>
      </c>
      <c r="F26">
        <v>100</v>
      </c>
      <c r="G26">
        <v>110</v>
      </c>
    </row>
    <row r="27" spans="1:7" ht="15">
      <c r="A27" s="2" t="s">
        <v>23</v>
      </c>
      <c r="B27" s="2" t="s">
        <v>243</v>
      </c>
      <c r="C27" s="2" t="str">
        <f>IF(Config!$B$3="FR","Similitude min/max.","Min/max similarity.")</f>
        <v>Min/max similarity.</v>
      </c>
      <c r="D27" s="2" t="str">
        <f>IF(Config!$B$3="FR","Met davantage l’accent sur la transition/Miller que Ciss seule.","Places more emphasis on transition/Miller behavior than Ciss alone.")</f>
        <v>Places more emphasis on transition/Miller behavior than Ciss alone.</v>
      </c>
      <c r="F27">
        <v>110</v>
      </c>
      <c r="G27">
        <v>120</v>
      </c>
    </row>
    <row r="28" spans="1:7" ht="15">
      <c r="A28" s="2" t="s">
        <v>24</v>
      </c>
      <c r="B28" s="2" t="s">
        <v>244</v>
      </c>
      <c r="C28" s="2" t="str">
        <f>IF(Config!$B$3="FR","Similitude min/max.","Min/max similarity.")</f>
        <v>Min/max similarity.</v>
      </c>
      <c r="D28" s="2" t="str">
        <f>IF(Config!$B$3="FR","Charge totale de grille.","Total gate charge.")</f>
        <v>Total gate charge.</v>
      </c>
      <c r="F28">
        <v>120</v>
      </c>
      <c r="G28">
        <v>130</v>
      </c>
    </row>
    <row r="29" spans="1:7" ht="15">
      <c r="A29" s="2" t="s">
        <v>25</v>
      </c>
      <c r="B29" s="2" t="s">
        <v>244</v>
      </c>
      <c r="C29" s="2" t="str">
        <f>IF(Config!$B$3="FR","Similitude au même courant modélisé.","Similarity at the same modeled current.")</f>
        <v>Similarity at the same modeled current.</v>
      </c>
      <c r="D29" s="2" t="s">
        <v>245</v>
      </c>
      <c r="F29">
        <v>130</v>
      </c>
      <c r="G29">
        <v>150</v>
      </c>
    </row>
    <row r="30" spans="1:7" ht="15">
      <c r="A30" s="2" t="s">
        <v>26</v>
      </c>
      <c r="B30" s="2" t="s">
        <v>246</v>
      </c>
      <c r="C30" s="2" t="str">
        <f>IF(Config!$B$3="FR","Similitude min/max.","Min/max similarity.")</f>
        <v>Min/max similarity.</v>
      </c>
      <c r="D30" s="2" t="str">
        <f>IF(Config!$B$3="FR","Couplage drain-grille.","Drain-gate coupling.")</f>
        <v>Drain-gate coupling.</v>
      </c>
      <c r="F30">
        <v>150</v>
      </c>
      <c r="G30">
        <v>160</v>
      </c>
    </row>
    <row r="31" spans="1:7" ht="15">
      <c r="A31" s="2" t="s">
        <v>27</v>
      </c>
      <c r="B31" s="2" t="s">
        <v>246</v>
      </c>
      <c r="C31" s="2" t="str">
        <f>IF(Config!$B$3="FR","Similitude min/max.","Min/max similarity.")</f>
        <v>Min/max similarity.</v>
      </c>
      <c r="D31" s="2" t="str">
        <f>IF(Config!$B$3="FR","Contribution volontairement modérée au current-dumping.","Deliberately moderate contribution to current-dumping.")</f>
        <v>Deliberately moderate contribution to current-dumping.</v>
      </c>
      <c r="F31">
        <v>160</v>
      </c>
      <c r="G31">
        <v>180</v>
      </c>
    </row>
    <row r="32" spans="1:7">
      <c r="A32" s="2"/>
      <c r="B32" s="2"/>
      <c r="C32" s="2"/>
      <c r="D32" s="2"/>
      <c r="F32">
        <v>180</v>
      </c>
      <c r="G32">
        <v>200</v>
      </c>
    </row>
    <row r="33" spans="1:7" ht="30">
      <c r="A33" s="2" t="str">
        <f>IF(Config!$B$3="FR","R14/R15 1.1b2","R14/R15 1.1b2")</f>
        <v>R14/R15 1.1b2</v>
      </c>
      <c r="B33" s="2" t="str">
        <f>IF(Config!$B$3="FR","Le réglage initial utilise Ceff au Av de référence configuré (0,50 par défaut) plutôt que Ciss brute.","The initial setting uses Ceff at the configured reference Av (0.50 by default) rather than raw Ciss.")</f>
        <v>The initial setting uses Ceff at the configured reference Av (0.50 by default) rather than raw Ciss.</v>
      </c>
      <c r="C33" s="2"/>
      <c r="D33" s="2"/>
      <c r="F33">
        <v>200</v>
      </c>
      <c r="G33">
        <v>220</v>
      </c>
    </row>
    <row r="34" spans="1:7" ht="30">
      <c r="A34" s="2" t="str">
        <f>IF(Config!$B$3="FR","Important","Important")</f>
        <v>Important</v>
      </c>
      <c r="B34" s="2" t="str">
        <f>IF(Config!$B$3="FR","Le rapport R×Ceff reste une heuristique de départ. Il ne transforme pas deux MOSFETs dynamiquement différents en paire parfaite.","The R×Ceff ratio remains a starting heuristic. It does not turn two dynamically different MOSFETs into a perfect pair.")</f>
        <v>The R×Ceff ratio remains a starting heuristic. It does not turn two dynamically different MOSFETs into a perfect pair.</v>
      </c>
      <c r="C34" s="2"/>
      <c r="D34" s="2"/>
      <c r="F34">
        <v>220</v>
      </c>
      <c r="G34">
        <v>240</v>
      </c>
    </row>
    <row r="35" spans="1:7" ht="45">
      <c r="A35" s="2" t="str">
        <f>IF(Config!$B$3="FR","Validation","Validation")</f>
        <v>Validation</v>
      </c>
      <c r="B35" s="2" t="str">
        <f>IF(Config!$B$3="FR","Signaux carrés, comportement avec charge résistive/capacitive, absence d’oscillation/ringing excessif et comportement thermique restent déterminants.","Square waves, resistive/capacitive-load behavior, absence of oscillation/excessive ringing and thermal behavior remain decisive.")</f>
        <v>Square waves, resistive/capacitive-load behavior, absence of oscillation/excessive ringing and thermal behavior remain decisive.</v>
      </c>
      <c r="C35" s="2"/>
      <c r="D35" s="2"/>
      <c r="F35">
        <v>240</v>
      </c>
      <c r="G35">
        <v>270</v>
      </c>
    </row>
    <row r="36" spans="1:7">
      <c r="A36" s="2"/>
      <c r="B36" s="2"/>
      <c r="C36" s="2"/>
      <c r="D36" s="2"/>
      <c r="F36">
        <v>270</v>
      </c>
      <c r="G36">
        <v>300</v>
      </c>
    </row>
    <row r="37" spans="1:7">
      <c r="A37" s="2"/>
      <c r="B37" s="2"/>
      <c r="C37" s="2"/>
      <c r="D37" s="2"/>
      <c r="F37">
        <v>300</v>
      </c>
      <c r="G37">
        <v>330</v>
      </c>
    </row>
    <row r="38" spans="1:7">
      <c r="A38" s="2"/>
      <c r="B38" s="2"/>
      <c r="C38" s="2"/>
      <c r="D38" s="2"/>
      <c r="F38">
        <v>330</v>
      </c>
      <c r="G38">
        <v>360</v>
      </c>
    </row>
    <row r="39" spans="1:7">
      <c r="A39" s="2"/>
      <c r="B39" s="2"/>
      <c r="C39" s="2"/>
      <c r="D39" s="2"/>
      <c r="F39">
        <v>360</v>
      </c>
      <c r="G39">
        <v>390</v>
      </c>
    </row>
    <row r="40" spans="1:7" ht="30">
      <c r="A40" s="2" t="s">
        <v>247</v>
      </c>
      <c r="B40" s="2" t="str">
        <f>IF(Config!$B$3="FR","Inversion de la logique : aptitude MOSFET → compatibilité intrinsèque de paire → optimisation secondaire R14/R15.","Logic reversed: MOSFET suitability → intrinsic pair compatibility → secondary R14/R15 optimization.")</f>
        <v>Logic reversed: MOSFET suitability → intrinsic pair compatibility → secondary R14/R15 optimization.</v>
      </c>
      <c r="C40" s="2" t="str">
        <f>IF(Config!$B$3="FR","Ajout du profil Ceff à Av=0 / 0,5 / 0,95 et de Qgd dans la note principale.","Added Ceff profile at Av=0 / 0.5 / 0.95 and Qgd to the main assessment.")</f>
        <v>Added Ceff profile at Av=0 / 0.5 / 0.95 and Qgd to the main assessment.</v>
      </c>
      <c r="D40" s="2" t="str">
        <f>IF(Config!$B$3="FR","R14/R15 initiales désormais accordées avec Ceff au Av de référence configurable ; validation finale toujours expérimentale.","Initial R14/R15 are now matched using Ceff at the configurable reference Av; final validation remains experimental.")</f>
        <v>Initial R14/R15 are now matched using Ceff at the configurable reference Av; final validation remains experimental.</v>
      </c>
      <c r="F40">
        <v>390</v>
      </c>
      <c r="G40">
        <v>430</v>
      </c>
    </row>
    <row r="41" spans="1:7">
      <c r="F41">
        <v>430</v>
      </c>
      <c r="G41">
        <v>470</v>
      </c>
    </row>
    <row r="42" spans="1:7">
      <c r="F42">
        <v>470</v>
      </c>
      <c r="G42">
        <v>510</v>
      </c>
    </row>
    <row r="43" spans="1:7">
      <c r="F43">
        <v>510</v>
      </c>
      <c r="G43">
        <v>560</v>
      </c>
    </row>
    <row r="44" spans="1:7">
      <c r="A44" t="s">
        <v>248</v>
      </c>
      <c r="B44" t="str">
        <f>IF(Config!$B$3="FR","Retour à une logique simple : aptitude MOSFET, profil Ceff, correction R14/R15, puis alertes sur asymétries extrêmes.","Return to a simple logic: MOSFET suitability, Ceff profile, R14/R15 correction, then alerts for extreme asymmetries.")</f>
        <v>Return to a simple logic: MOSFET suitability, Ceff profile, R14/R15 correction, then alerts for extreme asymmetries.</v>
      </c>
      <c r="C44" t="str">
        <f>IF(Config!$B$3="FR","Suppression du score global et séparation stricte entre évaluation théorique et retour d’essai Q17.","Global score removed and theoretical assessment strictly separated from Q17 test feedback.")</f>
        <v>Global score removed and theoretical assessment strictly separated from Q17 test feedback.</v>
      </c>
      <c r="D44" t="str">
        <f>IF(Config!$B$3="FR","S5 est classée A théoriquement sans utiliser ses essais comme bonus : profil Ceff 83,8 %, équilibre Rgate 82 %, aucune alerte extrême.","S5 is theoretically classed A without using its tests as a bonus: Ceff profile 83.8%, Rgate balance 82%, no extreme alert.")</f>
        <v>S5 is theoretically classed A without using its tests as a bonus: Ceff profile 83.8%, Rgate balance 82%, no extreme alert.</v>
      </c>
      <c r="F44">
        <v>560</v>
      </c>
      <c r="G44">
        <v>620</v>
      </c>
    </row>
    <row r="45" spans="1:7">
      <c r="A45" t="s">
        <v>249</v>
      </c>
      <c r="B45" t="str">
        <f>IF(Config!$B$3="FR","Version bilingue FR/EN reconstruite sans feuille supplémentaire ni nouvelle validation de données.","FR/EN bilingual version rebuilt without extra sheet or new data validation.")</f>
        <v>FR/EN bilingual version rebuilt without extra sheet or new data validation.</v>
      </c>
      <c r="F45">
        <v>620</v>
      </c>
      <c r="G45">
        <v>680</v>
      </c>
    </row>
    <row r="46" spans="1:7">
      <c r="F46">
        <v>680</v>
      </c>
      <c r="G46">
        <v>750</v>
      </c>
    </row>
    <row r="47" spans="1:7">
      <c r="F47">
        <v>750</v>
      </c>
      <c r="G47">
        <v>820</v>
      </c>
    </row>
    <row r="48" spans="1:7">
      <c r="F48">
        <v>820</v>
      </c>
      <c r="G48">
        <v>910</v>
      </c>
    </row>
    <row r="49" spans="6:7">
      <c r="F49">
        <v>910</v>
      </c>
      <c r="G49">
        <v>1000</v>
      </c>
    </row>
    <row r="50" spans="6:7">
      <c r="F50">
        <v>1000</v>
      </c>
      <c r="G50">
        <v>1100</v>
      </c>
    </row>
    <row r="51" spans="6:7">
      <c r="F51">
        <v>1100</v>
      </c>
      <c r="G51">
        <v>1200</v>
      </c>
    </row>
    <row r="52" spans="6:7">
      <c r="F52">
        <v>1200</v>
      </c>
      <c r="G52">
        <v>1300</v>
      </c>
    </row>
    <row r="53" spans="6:7">
      <c r="F53">
        <v>1300</v>
      </c>
      <c r="G53">
        <v>1500</v>
      </c>
    </row>
    <row r="54" spans="6:7">
      <c r="F54">
        <v>1500</v>
      </c>
      <c r="G54">
        <v>1600</v>
      </c>
    </row>
    <row r="55" spans="6:7">
      <c r="F55">
        <v>1600</v>
      </c>
      <c r="G55">
        <v>1800</v>
      </c>
    </row>
    <row r="56" spans="6:7">
      <c r="F56">
        <v>1800</v>
      </c>
      <c r="G56">
        <v>2000</v>
      </c>
    </row>
    <row r="57" spans="6:7">
      <c r="F57">
        <v>2000</v>
      </c>
      <c r="G57">
        <v>2200</v>
      </c>
    </row>
    <row r="58" spans="6:7">
      <c r="F58">
        <v>2200</v>
      </c>
      <c r="G58">
        <v>2400</v>
      </c>
    </row>
    <row r="59" spans="6:7">
      <c r="F59">
        <v>2400</v>
      </c>
      <c r="G59">
        <v>2700</v>
      </c>
    </row>
    <row r="60" spans="6:7">
      <c r="F60">
        <v>2700</v>
      </c>
      <c r="G60">
        <v>3000</v>
      </c>
    </row>
    <row r="61" spans="6:7">
      <c r="F61">
        <v>3000</v>
      </c>
      <c r="G61">
        <v>3300</v>
      </c>
    </row>
    <row r="62" spans="6:7">
      <c r="F62">
        <v>3300</v>
      </c>
      <c r="G62">
        <v>3600</v>
      </c>
    </row>
    <row r="63" spans="6:7">
      <c r="F63">
        <v>3600</v>
      </c>
      <c r="G63">
        <v>3900</v>
      </c>
    </row>
    <row r="64" spans="6:7">
      <c r="F64">
        <v>3900</v>
      </c>
      <c r="G64">
        <v>4300</v>
      </c>
    </row>
    <row r="65" spans="6:7">
      <c r="F65">
        <v>4300</v>
      </c>
      <c r="G65">
        <v>4700</v>
      </c>
    </row>
    <row r="66" spans="6:7">
      <c r="F66">
        <v>4700</v>
      </c>
      <c r="G66">
        <v>5100</v>
      </c>
    </row>
    <row r="67" spans="6:7">
      <c r="F67">
        <v>5100</v>
      </c>
      <c r="G67">
        <v>5600</v>
      </c>
    </row>
    <row r="68" spans="6:7">
      <c r="F68">
        <v>5600</v>
      </c>
      <c r="G68">
        <v>6200</v>
      </c>
    </row>
    <row r="69" spans="6:7">
      <c r="F69">
        <v>6200</v>
      </c>
      <c r="G69">
        <v>6800</v>
      </c>
    </row>
    <row r="70" spans="6:7">
      <c r="F70">
        <v>6800</v>
      </c>
      <c r="G70">
        <v>7500</v>
      </c>
    </row>
    <row r="71" spans="6:7">
      <c r="F71">
        <v>7500</v>
      </c>
      <c r="G71">
        <v>8200</v>
      </c>
    </row>
    <row r="72" spans="6:7">
      <c r="F72">
        <v>8200</v>
      </c>
      <c r="G72">
        <v>9100</v>
      </c>
    </row>
    <row r="73" spans="6:7">
      <c r="F73">
        <v>9100</v>
      </c>
      <c r="G73">
        <v>10000</v>
      </c>
    </row>
    <row r="74" spans="6:7">
      <c r="F74">
        <v>10000</v>
      </c>
      <c r="G74">
        <v>10000</v>
      </c>
    </row>
  </sheetData>
  <mergeCells count="1">
    <mergeCell ref="A1:D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5"/>
  <sheetViews>
    <sheetView tabSelected="1" workbookViewId="0">
      <pane ySplit="5" topLeftCell="A6" activePane="bottomLeft" state="frozen"/>
      <selection pane="bottomLeft" activeCell="F36" sqref="F36"/>
    </sheetView>
  </sheetViews>
  <sheetFormatPr baseColWidth="10" defaultColWidth="8.83203125" defaultRowHeight="14"/>
  <cols>
    <col min="1" max="1" width="8.5" customWidth="1"/>
    <col min="2" max="3" width="15.5" customWidth="1"/>
    <col min="4" max="4" width="24.5" customWidth="1"/>
    <col min="5" max="5" width="12" customWidth="1"/>
    <col min="6" max="6" width="13.5" customWidth="1"/>
    <col min="7" max="7" width="10.5" customWidth="1"/>
    <col min="8" max="8" width="11.5" customWidth="1"/>
    <col min="9" max="10" width="10.5" customWidth="1"/>
    <col min="11" max="11" width="20" customWidth="1"/>
    <col min="12" max="12" width="27.33203125" customWidth="1"/>
  </cols>
  <sheetData>
    <row r="1" spans="1:12" ht="30" customHeight="1">
      <c r="A1" s="86" t="str">
        <f>IF(Config!$B$3="FR","Q17-Mini — Comparaison théorique des couples Q15/Q16 et R14/R15 initiales","Q17-Mini — Theoretical comparison of Q15/Q16 pairs and initial R14/R15")</f>
        <v>Q17-Mini — Theoretical comparison of Q15/Q16 pairs and initial R14/R15</v>
      </c>
      <c r="B1" s="86"/>
      <c r="C1" s="86"/>
      <c r="D1" s="86"/>
      <c r="E1" s="86"/>
      <c r="F1" s="86"/>
      <c r="G1" s="86"/>
      <c r="H1" s="86"/>
      <c r="I1" s="86"/>
      <c r="J1" s="86"/>
      <c r="K1" s="86"/>
      <c r="L1" s="86"/>
    </row>
    <row r="2" spans="1:12" ht="34" customHeight="1">
      <c r="A2" s="88" t="str">
        <f>IF(Config!$B$3="FR","Cible initiale : ","Initial target: ")&amp;Config!$B$8&amp;" = "&amp;Config!$B$9&amp;" Ω"</f>
        <v>Initial target: R14 = 100 Ω</v>
      </c>
      <c r="B2" s="89"/>
      <c r="C2" s="90"/>
      <c r="D2" s="82"/>
      <c r="E2" s="91" t="str">
        <f>IF(Config!$B$3="FR","Paires actives","Active pairs")</f>
        <v>Active pairs</v>
      </c>
      <c r="F2" s="91"/>
      <c r="G2" s="35">
        <v>18</v>
      </c>
      <c r="H2" s="91" t="str">
        <f>IF(Config!$B$3="FR","Version","Version")</f>
        <v>Version</v>
      </c>
      <c r="I2" s="91"/>
      <c r="J2" s="25" t="str">
        <f>Config!$B$5</f>
        <v>1.1b35</v>
      </c>
      <c r="K2" s="42" t="str">
        <f>IF(Config!$B$3="FR","Date","Date")</f>
        <v>Date</v>
      </c>
      <c r="L2" s="25" t="str">
        <f>Config!$B$6</f>
        <v>08/10/2026</v>
      </c>
    </row>
    <row r="3" spans="1:12" ht="31" customHeight="1">
      <c r="A3" s="87" t="str">
        <f>IF(Config!$B$3="FR","1.1b35 : le statut d’essai Q17 est structuré. Les notes FR/EN restent descriptives ; une note vide reste vide.","1.1b35: Q17 test status is structured. FR/EN notes remain descriptive; an empty note remains blank.")</f>
        <v>1.1b35: Q17 test status is structured. FR/EN notes remain descriptive; an empty note remains blank.</v>
      </c>
      <c r="B3" s="87"/>
      <c r="C3" s="87"/>
      <c r="D3" s="87"/>
      <c r="E3" s="87"/>
      <c r="F3" s="87"/>
      <c r="G3" s="87"/>
      <c r="H3" s="87"/>
      <c r="I3" s="87"/>
      <c r="J3" s="87"/>
      <c r="K3" s="87"/>
      <c r="L3" s="87"/>
    </row>
    <row r="4" spans="1:12" ht="8" customHeight="1">
      <c r="A4" s="22"/>
      <c r="B4" s="22"/>
      <c r="C4" s="22"/>
      <c r="D4" s="22"/>
      <c r="E4" s="22"/>
      <c r="F4" s="22"/>
      <c r="G4" s="22"/>
      <c r="H4" s="22"/>
      <c r="I4" s="22"/>
      <c r="J4" s="22"/>
      <c r="K4" s="22"/>
      <c r="L4" s="22"/>
    </row>
    <row r="5" spans="1:12" ht="34" customHeight="1">
      <c r="A5" s="26" t="str">
        <f>IF(Config!$B$3="FR","Paire","Pair")</f>
        <v>Pair</v>
      </c>
      <c r="B5" s="26" t="s">
        <v>18</v>
      </c>
      <c r="C5" s="26" t="s">
        <v>20</v>
      </c>
      <c r="D5" s="26" t="str">
        <f>IF(Config!$B$3="FR","Classe théorique","Theoretical class")</f>
        <v>Theoretical class</v>
      </c>
      <c r="E5" s="26" t="str">
        <f>IF(Config!$B$3="FR","Profil Ceff","Ceff profile")</f>
        <v>Ceff profile</v>
      </c>
      <c r="F5" s="26" t="str">
        <f>IF(Config!$B$3="FR","Équilibre Rgate","Rgate balance")</f>
        <v>Rgate balance</v>
      </c>
      <c r="G5" s="40" t="str">
        <f>IF(Config!$B$3="FR","Similarité"&amp;CHAR(10)&amp;"Qgd","Qgd"&amp;CHAR(10)&amp;"similarity")</f>
        <v>Qgd
similarity</v>
      </c>
      <c r="H5" s="26" t="str">
        <f>IF(Config!$B$3="FR","Alertes","Alerts")</f>
        <v>Alerts</v>
      </c>
      <c r="I5" s="40" t="str">
        <f>IF(Config!$B$3="FR","R14 initiale"&amp;CHAR(10)&amp;"(Ω)","Initial R14"&amp;CHAR(10)&amp;"(Ω)")</f>
        <v>Initial R14
(Ω)</v>
      </c>
      <c r="J5" s="40" t="str">
        <f>IF(Config!$B$3="FR","R15 initiale"&amp;CHAR(10)&amp;"(Ω)","Initial R15"&amp;CHAR(10)&amp;"(Ω)")</f>
        <v>Initial R15
(Ω)</v>
      </c>
      <c r="K5" s="26" t="str">
        <f>IF(Config!$B$3="FR","Retour essai Q17","Q17 test feedback")</f>
        <v>Q17 test feedback</v>
      </c>
      <c r="L5" s="26" t="str">
        <f>IF(Config!$B$3="FR","Notes essai","Test notes")</f>
        <v>Test notes</v>
      </c>
    </row>
    <row r="6" spans="1:12" ht="27" customHeight="1">
      <c r="A6" s="23" t="str">
        <f>Calculations!A5</f>
        <v>S1</v>
      </c>
      <c r="B6" s="23" t="str">
        <f>Calculations!B5</f>
        <v>FQA46N15</v>
      </c>
      <c r="C6" s="23" t="str">
        <f>Calculations!C5</f>
        <v>FQA36P15</v>
      </c>
      <c r="D6" s="23" t="str">
        <f>IF(Config!$B$3="FR",Calculations!CD5,IF(Calculations!CD5="A – TRÈS BON CANDIDAT","A – VERY GOOD CANDIDATE",IF(Calculations!CD5="B – BON CANDIDAT","B – GOOD CANDIDATE",IF(Calculations!CD5="C – À ÉTUDIER","C – NEEDS REVIEW",IF(Calculations!CD5="X – INADAPTÉ","X – UNSUITABLE",Calculations!CD5)))))</f>
        <v>A – VERY GOOD CANDIDATE</v>
      </c>
      <c r="E6" s="27">
        <f>Calculations!BI5</f>
        <v>0.96651364720116728</v>
      </c>
      <c r="F6" s="27">
        <f>Calculations!CE5</f>
        <v>1</v>
      </c>
      <c r="G6" s="36">
        <f>IF(Calculations!BJ5="","",Calculations!BJ5)</f>
        <v>0.97619047619047616</v>
      </c>
      <c r="H6" s="33" t="str">
        <f>IF(Config!$B$3="FR",Calculations!CG5,IF(Calculations!CG5="Aucune","None",Calculations!CG5))</f>
        <v>None</v>
      </c>
      <c r="I6" s="38">
        <f>Calculations!BB5</f>
        <v>100</v>
      </c>
      <c r="J6" s="38">
        <f>Calculations!BC5</f>
        <v>100</v>
      </c>
      <c r="K6" s="33" t="str">
        <f>IF(Config!$B$3="FR",IF(Calculations!CH5="VALIDÉ R14/R15","VALIDÉ",Calculations!CH5),IF(Calculations!CH5="VALIDÉ R14/R15","VALIDATED",IF(Calculations!CH5="VALIDATION INCOMPLÈTE","INCOMPLETE VALIDATION",IF(Calculations!CH5="TESTÉ – À ÉVALUER","TESTED – TO REVIEW",IF(Calculations!CH5="REJETÉ","REJECTED","NOT TESTED")))))</f>
        <v>NOT TESTED</v>
      </c>
      <c r="L6" s="23" t="str">
        <f>T(Calculations!G5)</f>
        <v>Historical / default configuration.</v>
      </c>
    </row>
    <row r="7" spans="1:12" ht="27" customHeight="1">
      <c r="A7" s="24" t="str">
        <f>Calculations!A6</f>
        <v>S3</v>
      </c>
      <c r="B7" s="24" t="str">
        <f>Calculations!B6</f>
        <v>IXTQ36N30P</v>
      </c>
      <c r="C7" s="24" t="str">
        <f>Calculations!C6</f>
        <v>FQA36P15</v>
      </c>
      <c r="D7" s="24" t="str">
        <f>IF(Config!$B$3="FR",Calculations!CD6,IF(Calculations!CD6="A – TRÈS BON CANDIDAT","A – VERY GOOD CANDIDATE",IF(Calculations!CD6="B – BON CANDIDAT","B – GOOD CANDIDATE",IF(Calculations!CD6="C – À ÉTUDIER","C – NEEDS REVIEW",IF(Calculations!CD6="X – INADAPTÉ","X – UNSUITABLE",Calculations!CD6)))))</f>
        <v>A – VERY GOOD CANDIDATE</v>
      </c>
      <c r="E7" s="28">
        <f>Calculations!BI6</f>
        <v>0.86986228248105046</v>
      </c>
      <c r="F7" s="28">
        <f>Calculations!CE6</f>
        <v>0.91</v>
      </c>
      <c r="G7" s="37">
        <f>IF(Calculations!BJ6="","",Calculations!BJ6)</f>
        <v>0.83333333333333337</v>
      </c>
      <c r="H7" s="34" t="str">
        <f>IF(Config!$B$3="FR",Calculations!CG6,IF(Calculations!CG6="Aucune","None",Calculations!CG6))</f>
        <v>None</v>
      </c>
      <c r="I7" s="39">
        <f>Calculations!BB6</f>
        <v>47</v>
      </c>
      <c r="J7" s="39">
        <f>Calculations!BC6</f>
        <v>47</v>
      </c>
      <c r="K7" s="34" t="str">
        <f>IF(Config!$B$3="FR",IF(Calculations!CH6="VALIDÉ R14/R15","VALIDÉ",Calculations!CH6),IF(Calculations!CH6="VALIDÉ R14/R15","VALIDATED",IF(Calculations!CH6="VALIDATION INCOMPLÈTE","INCOMPLETE VALIDATION",IF(Calculations!CH6="TESTÉ – À ÉVALUER","TESTED – TO REVIEW",IF(Calculations!CH6="REJETÉ","REJECTED","NOT TESTED")))))</f>
        <v>VALIDATED</v>
      </c>
      <c r="L7" s="24" t="str">
        <f>T(Calculations!G6)</f>
        <v>Test performed on PCB 3.0.4.</v>
      </c>
    </row>
    <row r="8" spans="1:12" ht="27" customHeight="1">
      <c r="A8" s="23" t="str">
        <f>Calculations!A8</f>
        <v>S5</v>
      </c>
      <c r="B8" s="23" t="str">
        <f>Calculations!B8</f>
        <v>FQA46N15</v>
      </c>
      <c r="C8" s="23" t="str">
        <f>Calculations!C8</f>
        <v>IXTQ36P15P</v>
      </c>
      <c r="D8" s="23" t="str">
        <f>IF(Config!$B$3="FR",Calculations!CD8,IF(Calculations!CD8="A – TRÈS BON CANDIDAT","A – VERY GOOD CANDIDATE",IF(Calculations!CD8="B – BON CANDIDAT","B – GOOD CANDIDATE",IF(Calculations!CD8="C – À ÉTUDIER","C – NEEDS REVIEW",IF(Calculations!CD8="X – INADAPTÉ","X – UNSUITABLE",Calculations!CD8)))))</f>
        <v>A – VERY GOOD CANDIDATE</v>
      </c>
      <c r="E8" s="27">
        <f>Calculations!BI8</f>
        <v>0.83798790322580641</v>
      </c>
      <c r="F8" s="27">
        <f>Calculations!CE8</f>
        <v>0.82</v>
      </c>
      <c r="G8" s="36">
        <f>IF(Calculations!BJ8="","",Calculations!BJ8)</f>
        <v>0.43902439024390244</v>
      </c>
      <c r="H8" s="33" t="str">
        <f>IF(Config!$B$3="FR",Calculations!CG8,IF(Calculations!CG8="Aucune","None",Calculations!CG8))</f>
        <v>None</v>
      </c>
      <c r="I8" s="38">
        <f>Calculations!BB8</f>
        <v>100</v>
      </c>
      <c r="J8" s="38">
        <f>Calculations!BC8</f>
        <v>82</v>
      </c>
      <c r="K8" s="33" t="str">
        <f>IF(Config!$B$3="FR",IF(Calculations!CH8="VALIDÉ R14/R15","VALIDÉ",Calculations!CH8),IF(Calculations!CH8="VALIDÉ R14/R15","VALIDATED",IF(Calculations!CH8="VALIDATION INCOMPLÈTE","INCOMPLETE VALIDATION",IF(Calculations!CH8="TESTÉ – À ÉVALUER","TESTED – TO REVIEW",IF(Calculations!CH8="REJETÉ","REJECTED","NOT TESTED")))))</f>
        <v>TESTED – TO REVIEW</v>
      </c>
      <c r="L8" s="23" t="str">
        <f>T(Calculations!G8)</f>
        <v>Combination to validate on Q17.</v>
      </c>
    </row>
    <row r="9" spans="1:12" ht="27" customHeight="1">
      <c r="A9" s="24" t="str">
        <f>Calculations!A9</f>
        <v>C1</v>
      </c>
      <c r="B9" s="24" t="str">
        <f>Calculations!B9</f>
        <v>IXTQ50N20P</v>
      </c>
      <c r="C9" s="24" t="str">
        <f>Calculations!C9</f>
        <v>IXTQ36P15P</v>
      </c>
      <c r="D9" s="24" t="str">
        <f>IF(Config!$B$3="FR",Calculations!CD9,IF(Calculations!CD9="A – TRÈS BON CANDIDAT","A – VERY GOOD CANDIDATE",IF(Calculations!CD9="B – BON CANDIDAT","B – GOOD CANDIDATE",IF(Calculations!CD9="C – À ÉTUDIER","C – NEEDS REVIEW",IF(Calculations!CD9="X – INADAPTÉ","X – UNSUITABLE",Calculations!CD9)))))</f>
        <v>A – VERY GOOD CANDIDATE</v>
      </c>
      <c r="E9" s="28">
        <f>Calculations!BI9</f>
        <v>0.90553921370967738</v>
      </c>
      <c r="F9" s="28">
        <f>Calculations!CE9</f>
        <v>0.91</v>
      </c>
      <c r="G9" s="37">
        <f>IF(Calculations!BJ9="","",Calculations!BJ9)</f>
        <v>0.48648648648648651</v>
      </c>
      <c r="H9" s="34" t="str">
        <f>IF(Config!$B$3="FR",Calculations!CG9,IF(Calculations!CG9="Aucune","None",Calculations!CG9))</f>
        <v>None</v>
      </c>
      <c r="I9" s="39">
        <f>Calculations!BB9</f>
        <v>100</v>
      </c>
      <c r="J9" s="39">
        <f>Calculations!BC9</f>
        <v>91</v>
      </c>
      <c r="K9" s="34" t="str">
        <f>IF(Config!$B$3="FR",IF(Calculations!CH9="VALIDÉ R14/R15","VALIDÉ",Calculations!CH9),IF(Calculations!CH9="VALIDÉ R14/R15","VALIDATED",IF(Calculations!CH9="VALIDATION INCOMPLÈTE","INCOMPLETE VALIDATION",IF(Calculations!CH9="TESTÉ – À ÉVALUER","TESTED – TO REVIEW",IF(Calculations!CH9="REJETÉ","REJECTED","NOT TESTED")))))</f>
        <v>TESTED – TO REVIEW</v>
      </c>
      <c r="L9" s="24" t="str">
        <f>T(Calculations!G9)</f>
        <v>Combination to validate on Q17.</v>
      </c>
    </row>
    <row r="10" spans="1:12" ht="27" customHeight="1">
      <c r="A10" s="23" t="str">
        <f>Calculations!A10</f>
        <v>C3</v>
      </c>
      <c r="B10" s="23" t="str">
        <f>Calculations!B10</f>
        <v>IXTQ50N20P</v>
      </c>
      <c r="C10" s="23" t="str">
        <f>Calculations!C10</f>
        <v>FQA36P15</v>
      </c>
      <c r="D10" s="23" t="str">
        <f>IF(Config!$B$3="FR",Calculations!CD10,IF(Calculations!CD10="A – TRÈS BON CANDIDAT","A – VERY GOOD CANDIDATE",IF(Calculations!CD10="B – BON CANDIDAT","B – GOOD CANDIDATE",IF(Calculations!CD10="C – À ÉTUDIER","C – NEEDS REVIEW",IF(Calculations!CD10="X – INADAPTÉ","X – UNSUITABLE",Calculations!CD10)))))</f>
        <v>A – VERY GOOD CANDIDATE</v>
      </c>
      <c r="E10" s="27">
        <f>Calculations!BI10</f>
        <v>0.95756984980151838</v>
      </c>
      <c r="F10" s="27">
        <f>Calculations!CE10</f>
        <v>0.90909090909090906</v>
      </c>
      <c r="G10" s="36">
        <f>IF(Calculations!BJ10="","",Calculations!BJ10)</f>
        <v>0.88095238095238093</v>
      </c>
      <c r="H10" s="33" t="str">
        <f>IF(Config!$B$3="FR",Calculations!CG10,IF(Calculations!CG10="Aucune","None",Calculations!CG10))</f>
        <v>None</v>
      </c>
      <c r="I10" s="38">
        <f>Calculations!BB10</f>
        <v>100</v>
      </c>
      <c r="J10" s="38">
        <f>Calculations!BC10</f>
        <v>110</v>
      </c>
      <c r="K10" s="33" t="str">
        <f>IF(Config!$B$3="FR",IF(Calculations!CH10="VALIDÉ R14/R15","VALIDÉ",Calculations!CH10),IF(Calculations!CH10="VALIDÉ R14/R15","VALIDATED",IF(Calculations!CH10="VALIDATION INCOMPLÈTE","INCOMPLETE VALIDATION",IF(Calculations!CH10="TESTÉ – À ÉVALUER","TESTED – TO REVIEW",IF(Calculations!CH10="REJETÉ","REJECTED","NOT TESTED")))))</f>
        <v>TESTED – TO REVIEW</v>
      </c>
      <c r="L10" s="23" t="str">
        <f>T(Calculations!G10)</f>
        <v>Combination to validate on Q17.</v>
      </c>
    </row>
    <row r="11" spans="1:12" ht="27" customHeight="1">
      <c r="A11" s="24" t="str">
        <f>Calculations!A11</f>
        <v>C5</v>
      </c>
      <c r="B11" s="24" t="str">
        <f>Calculations!B11</f>
        <v>FQA46N15</v>
      </c>
      <c r="C11" s="24" t="str">
        <f>Calculations!C11</f>
        <v>IXTQ26P20P</v>
      </c>
      <c r="D11" s="24" t="str">
        <f>IF(Config!$B$3="FR",Calculations!CD11,IF(Calculations!CD11="A – TRÈS BON CANDIDAT","A – VERY GOOD CANDIDATE",IF(Calculations!CD11="B – BON CANDIDAT","B – GOOD CANDIDATE",IF(Calculations!CD11="C – À ÉTUDIER","C – NEEDS REVIEW",IF(Calculations!CD11="X – INADAPTÉ","X – UNSUITABLE",Calculations!CD11)))))</f>
        <v>A – VERY GOOD CANDIDATE</v>
      </c>
      <c r="E11" s="28">
        <f>Calculations!BI11</f>
        <v>0.92783506981987562</v>
      </c>
      <c r="F11" s="28">
        <f>Calculations!CE11</f>
        <v>0.91</v>
      </c>
      <c r="G11" s="37">
        <f>IF(Calculations!BJ11="","",Calculations!BJ11)</f>
        <v>0.48780487804878048</v>
      </c>
      <c r="H11" s="34" t="str">
        <f>IF(Config!$B$3="FR",Calculations!CG11,IF(Calculations!CG11="Aucune","None",Calculations!CG11))</f>
        <v>None</v>
      </c>
      <c r="I11" s="39">
        <f>Calculations!BB11</f>
        <v>100</v>
      </c>
      <c r="J11" s="39">
        <f>Calculations!BC11</f>
        <v>91</v>
      </c>
      <c r="K11" s="34" t="str">
        <f>IF(Config!$B$3="FR",IF(Calculations!CH11="VALIDÉ R14/R15","VALIDÉ",Calculations!CH11),IF(Calculations!CH11="VALIDÉ R14/R15","VALIDATED",IF(Calculations!CH11="VALIDATION INCOMPLÈTE","INCOMPLETE VALIDATION",IF(Calculations!CH11="TESTÉ – À ÉVALUER","TESTED – TO REVIEW",IF(Calculations!CH11="REJETÉ","REJECTED","NOT TESTED")))))</f>
        <v>NOT TESTED</v>
      </c>
      <c r="L11" s="24" t="str">
        <f>T(Calculations!G11)</f>
        <v>Combination to validate on Q17.</v>
      </c>
    </row>
    <row r="12" spans="1:12" ht="27" customHeight="1">
      <c r="A12" s="23" t="str">
        <f>Calculations!A12</f>
        <v>C6</v>
      </c>
      <c r="B12" s="23" t="str">
        <f>Calculations!B12</f>
        <v>IXTQ36N30P</v>
      </c>
      <c r="C12" s="23" t="str">
        <f>Calculations!C12</f>
        <v>IXTQ26P20P</v>
      </c>
      <c r="D12" s="23" t="str">
        <f>IF(Config!$B$3="FR",Calculations!CD12,IF(Calculations!CD12="A – TRÈS BON CANDIDAT","A – VERY GOOD CANDIDATE",IF(Calculations!CD12="B – BON CANDIDAT","B – GOOD CANDIDATE",IF(Calculations!CD12="C – À ÉTUDIER","C – NEEDS REVIEW",IF(Calculations!CD12="X – INADAPTÉ","X – UNSUITABLE",Calculations!CD12)))))</f>
        <v>A – VERY GOOD CANDIDATE</v>
      </c>
      <c r="E12" s="27">
        <f>Calculations!BI12</f>
        <v>0.83505156283788828</v>
      </c>
      <c r="F12" s="27">
        <f>Calculations!CE12</f>
        <v>0.82</v>
      </c>
      <c r="G12" s="36">
        <f>IF(Calculations!BJ12="","",Calculations!BJ12)</f>
        <v>0.5714285714285714</v>
      </c>
      <c r="H12" s="33" t="str">
        <f>IF(Config!$B$3="FR",Calculations!CG12,IF(Calculations!CG12="Aucune","None",Calculations!CG12))</f>
        <v>None</v>
      </c>
      <c r="I12" s="38">
        <f>Calculations!BB12</f>
        <v>100</v>
      </c>
      <c r="J12" s="38">
        <f>Calculations!BC12</f>
        <v>82</v>
      </c>
      <c r="K12" s="33" t="str">
        <f>IF(Config!$B$3="FR",IF(Calculations!CH12="VALIDÉ R14/R15","VALIDÉ",Calculations!CH12),IF(Calculations!CH12="VALIDÉ R14/R15","VALIDATED",IF(Calculations!CH12="VALIDATION INCOMPLÈTE","INCOMPLETE VALIDATION",IF(Calculations!CH12="TESTÉ – À ÉVALUER","TESTED – TO REVIEW",IF(Calculations!CH12="REJETÉ","REJECTED","NOT TESTED")))))</f>
        <v>NOT TESTED</v>
      </c>
      <c r="L12" s="23" t="str">
        <f>T(Calculations!G12)</f>
        <v>Combination to validate on Q17.</v>
      </c>
    </row>
    <row r="13" spans="1:12" ht="27" customHeight="1">
      <c r="A13" s="24" t="str">
        <f>Calculations!A13</f>
        <v>C7</v>
      </c>
      <c r="B13" s="24" t="str">
        <f>Calculations!B13</f>
        <v>IXTQ50N20P</v>
      </c>
      <c r="C13" s="24" t="str">
        <f>Calculations!C13</f>
        <v>IXTQ26P20P</v>
      </c>
      <c r="D13" s="24" t="str">
        <f>IF(Config!$B$3="FR",Calculations!CD13,IF(Calculations!CD13="A – TRÈS BON CANDIDAT","A – VERY GOOD CANDIDATE",IF(Calculations!CD13="B – BON CANDIDAT","B – GOOD CANDIDATE",IF(Calculations!CD13="C – À ÉTUDIER","C – NEEDS REVIEW",IF(Calculations!CD13="X – INADAPTÉ","X – UNSUITABLE",Calculations!CD13)))))</f>
        <v>A – VERY GOOD CANDIDATE</v>
      </c>
      <c r="E13" s="28">
        <f>Calculations!BI13</f>
        <v>0.9899639186100806</v>
      </c>
      <c r="F13" s="28">
        <f>Calculations!CE13</f>
        <v>1</v>
      </c>
      <c r="G13" s="37">
        <f>IF(Calculations!BJ13="","",Calculations!BJ13)</f>
        <v>0.54054054054054057</v>
      </c>
      <c r="H13" s="34" t="str">
        <f>IF(Config!$B$3="FR",Calculations!CG13,IF(Calculations!CG13="Aucune","None",Calculations!CG13))</f>
        <v>None</v>
      </c>
      <c r="I13" s="39">
        <f>Calculations!BB13</f>
        <v>100</v>
      </c>
      <c r="J13" s="39">
        <f>Calculations!BC13</f>
        <v>100</v>
      </c>
      <c r="K13" s="34" t="str">
        <f>IF(Config!$B$3="FR",IF(Calculations!CH13="VALIDÉ R14/R15","VALIDÉ",Calculations!CH13),IF(Calculations!CH13="VALIDÉ R14/R15","VALIDATED",IF(Calculations!CH13="VALIDATION INCOMPLÈTE","INCOMPLETE VALIDATION",IF(Calculations!CH13="TESTÉ – À ÉVALUER","TESTED – TO REVIEW",IF(Calculations!CH13="REJETÉ","REJECTED","NOT TESTED")))))</f>
        <v>INCOMPLETE VALIDATION</v>
      </c>
      <c r="L13" s="24" t="str">
        <f>T(Calculations!G13)</f>
        <v>Combination to validate on Q17.</v>
      </c>
    </row>
    <row r="14" spans="1:12" ht="27" customHeight="1">
      <c r="A14" s="29" t="str">
        <f>Calculations!A7</f>
        <v>S4</v>
      </c>
      <c r="B14" s="29" t="str">
        <f>Calculations!B7</f>
        <v>IXTQ36N30P</v>
      </c>
      <c r="C14" s="29" t="str">
        <f>Calculations!C7</f>
        <v>IXTQ36P15P</v>
      </c>
      <c r="D14" s="29" t="str">
        <f>IF(Config!$B$3="FR",Calculations!CD7,IF(Calculations!CD7="A – TRÈS BON CANDIDAT","A – VERY GOOD CANDIDATE",IF(Calculations!CD7="B – BON CANDIDAT","B – GOOD CANDIDATE",IF(Calculations!CD7="C – À ÉTUDIER","C – NEEDS REVIEW",IF(Calculations!CD7="X – INADAPTÉ","X – UNSUITABLE",Calculations!CD7)))))</f>
        <v>C – NEEDS REVIEW</v>
      </c>
      <c r="E14" s="30">
        <f>Calculations!BI7</f>
        <v>0.75418911290322588</v>
      </c>
      <c r="F14" s="30">
        <f>Calculations!CE7</f>
        <v>0.75</v>
      </c>
      <c r="G14" s="36">
        <f>IF(Calculations!BJ7="","",Calculations!BJ7)</f>
        <v>0.51428571428571423</v>
      </c>
      <c r="H14" s="33" t="str">
        <f>IF(Config!$B$3="FR",Calculations!CG7,IF(Calculations!CG7="Aucune","None",Calculations!CG7))</f>
        <v>None</v>
      </c>
      <c r="I14" s="38">
        <f>Calculations!BB7</f>
        <v>100</v>
      </c>
      <c r="J14" s="38">
        <f>Calculations!BC7</f>
        <v>75</v>
      </c>
      <c r="K14" s="33" t="str">
        <f>IF(Config!$B$3="FR",IF(Calculations!CH7="VALIDÉ R14/R15","VALIDÉ",Calculations!CH7),IF(Calculations!CH7="VALIDÉ R14/R15","VALIDATED",IF(Calculations!CH7="VALIDATION INCOMPLÈTE","INCOMPLETE VALIDATION",IF(Calculations!CH7="TESTÉ – À ÉVALUER","TESTED – TO REVIEW",IF(Calculations!CH7="REJETÉ","REJECTED","NOT TESTED")))))</f>
        <v>NOT TESTED</v>
      </c>
      <c r="L14" s="29" t="str">
        <f>T(Calculations!G7)</f>
        <v>Combination to validate on Q17.</v>
      </c>
    </row>
    <row r="15" spans="1:12" ht="27" customHeight="1">
      <c r="A15" s="24" t="str">
        <f>Calculations!A15</f>
        <v>C17</v>
      </c>
      <c r="B15" s="24" t="str">
        <f>Calculations!B15</f>
        <v>IXTQ74N20P</v>
      </c>
      <c r="C15" s="24" t="str">
        <f>Calculations!C15</f>
        <v>IXTQ36P15P</v>
      </c>
      <c r="D15" s="24" t="str">
        <f>IF(Config!$B$3="FR",Calculations!CD15,IF(Calculations!CD15="A – TRÈS BON CANDIDAT","A – VERY GOOD CANDIDATE",IF(Calculations!CD15="B – BON CANDIDAT","B – GOOD CANDIDATE",IF(Calculations!CD15="C – À ÉTUDIER","C – NEEDS REVIEW",IF(Calculations!CD15="X – INADAPTÉ","X – UNSUITABLE",Calculations!CD15)))))</f>
        <v>C – NEEDS REVIEW</v>
      </c>
      <c r="E15" s="28">
        <f>Calculations!BI15</f>
        <v>0.84520099087148226</v>
      </c>
      <c r="F15" s="28">
        <f>Calculations!CE15</f>
        <v>0.90909090909090906</v>
      </c>
      <c r="G15" s="37">
        <f>IF(Calculations!BJ15="","",Calculations!BJ15)</f>
        <v>0.34615384615384615</v>
      </c>
      <c r="H15" s="34" t="str">
        <f>IF(Config!$B$3="FR",Calculations!CG15,IF(Calculations!CG15="Aucune","None",Calculations!CG15))</f>
        <v xml:space="preserve">Qgd; </v>
      </c>
      <c r="I15" s="39">
        <f>Calculations!BB15</f>
        <v>100</v>
      </c>
      <c r="J15" s="39">
        <f>Calculations!BC15</f>
        <v>110</v>
      </c>
      <c r="K15" s="34" t="str">
        <f>IF(Config!$B$3="FR",IF(Calculations!CH15="VALIDÉ R14/R15","VALIDÉ",Calculations!CH15),IF(Calculations!CH15="VALIDÉ R14/R15","VALIDATED",IF(Calculations!CH15="VALIDATION INCOMPLÈTE","INCOMPLETE VALIDATION",IF(Calculations!CH15="TESTÉ – À ÉVALUER","TESTED – TO REVIEW",IF(Calculations!CH15="REJETÉ","REJECTED","NOT TESTED")))))</f>
        <v>NOT TESTED</v>
      </c>
      <c r="L15" s="24" t="str">
        <f>T(Calculations!G15)</f>
        <v>Combination to validate on Q17.</v>
      </c>
    </row>
    <row r="16" spans="1:12" ht="27" customHeight="1">
      <c r="A16" s="23" t="str">
        <f>Calculations!A16</f>
        <v>C19</v>
      </c>
      <c r="B16" s="23" t="str">
        <f>Calculations!B16</f>
        <v>IXTQ74N20P</v>
      </c>
      <c r="C16" s="23" t="str">
        <f>Calculations!C16</f>
        <v>IXTQ26P20P</v>
      </c>
      <c r="D16" s="23" t="str">
        <f>IF(Config!$B$3="FR",Calculations!CD16,IF(Calculations!CD16="A – TRÈS BON CANDIDAT","A – VERY GOOD CANDIDATE",IF(Calculations!CD16="B – BON CANDIDAT","B – GOOD CANDIDATE",IF(Calculations!CD16="C – À ÉTUDIER","C – NEEDS REVIEW",IF(Calculations!CD16="X – INADAPTÉ","X – UNSUITABLE",Calculations!CD16)))))</f>
        <v>C – NEEDS REVIEW</v>
      </c>
      <c r="E16" s="27">
        <f>Calculations!BI16</f>
        <v>0.76098574849461209</v>
      </c>
      <c r="F16" s="27">
        <f>Calculations!CE16</f>
        <v>0.83333333333333337</v>
      </c>
      <c r="G16" s="36">
        <f>IF(Calculations!BJ16="","",Calculations!BJ16)</f>
        <v>0.38461538461538464</v>
      </c>
      <c r="H16" s="33" t="str">
        <f>IF(Config!$B$3="FR",Calculations!CG16,IF(Calculations!CG16="Aucune","None",Calculations!CG16))</f>
        <v xml:space="preserve">Qgd; </v>
      </c>
      <c r="I16" s="38">
        <f>Calculations!BB16</f>
        <v>100</v>
      </c>
      <c r="J16" s="38">
        <f>Calculations!BC16</f>
        <v>120</v>
      </c>
      <c r="K16" s="33" t="str">
        <f>IF(Config!$B$3="FR",IF(Calculations!CH16="VALIDÉ R14/R15","VALIDÉ",Calculations!CH16),IF(Calculations!CH16="VALIDÉ R14/R15","VALIDATED",IF(Calculations!CH16="VALIDATION INCOMPLÈTE","INCOMPLETE VALIDATION",IF(Calculations!CH16="TESTÉ – À ÉVALUER","TESTED – TO REVIEW",IF(Calculations!CH16="REJETÉ","REJECTED","NOT TESTED")))))</f>
        <v>REJECTED</v>
      </c>
      <c r="L16" s="23" t="str">
        <f>T(Calculations!G16)</f>
        <v>Combination to validate on Q17.</v>
      </c>
    </row>
    <row r="17" spans="1:12" ht="27" customHeight="1">
      <c r="A17" s="31" t="str">
        <f>Calculations!A14</f>
        <v>C16</v>
      </c>
      <c r="B17" s="31" t="str">
        <f>Calculations!B14</f>
        <v>IXTQ74N20P</v>
      </c>
      <c r="C17" s="31" t="str">
        <f>Calculations!C14</f>
        <v>FQA36P15</v>
      </c>
      <c r="D17" s="31" t="str">
        <f>IF(Config!$B$3="FR",Calculations!CD14,IF(Calculations!CD14="A – TRÈS BON CANDIDAT","A – VERY GOOD CANDIDATE",IF(Calculations!CD14="B – BON CANDIDAT","B – GOOD CANDIDATE",IF(Calculations!CD14="C – À ÉTUDIER","C – NEEDS REVIEW",IF(Calculations!CD14="X – INADAPTÉ","X – UNSUITABLE",Calculations!CD14)))))</f>
        <v>C – NEEDS REVIEW</v>
      </c>
      <c r="E17" s="32">
        <f>Calculations!BI14</f>
        <v>0.72854023316944061</v>
      </c>
      <c r="F17" s="32">
        <f>Calculations!CE14</f>
        <v>0.76923076923076927</v>
      </c>
      <c r="G17" s="37">
        <f>IF(Calculations!BJ14="","",Calculations!BJ14)</f>
        <v>0.80769230769230771</v>
      </c>
      <c r="H17" s="34" t="str">
        <f>IF(Config!$B$3="FR",Calculations!CG14,IF(Calculations!CG14="Aucune","None",Calculations!CG14))</f>
        <v>None</v>
      </c>
      <c r="I17" s="39">
        <f>Calculations!BB14</f>
        <v>100</v>
      </c>
      <c r="J17" s="39">
        <f>Calculations!BC14</f>
        <v>130</v>
      </c>
      <c r="K17" s="34" t="str">
        <f>IF(Config!$B$3="FR",IF(Calculations!CH14="VALIDÉ R14/R15","VALIDÉ",Calculations!CH14),IF(Calculations!CH14="VALIDÉ R14/R15","VALIDATED",IF(Calculations!CH14="VALIDATION INCOMPLÈTE","INCOMPLETE VALIDATION",IF(Calculations!CH14="TESTÉ – À ÉVALUER","TESTED – TO REVIEW",IF(Calculations!CH14="REJETÉ","REJECTED","NOT TESTED")))))</f>
        <v>NOT TESTED</v>
      </c>
      <c r="L17" s="31" t="str">
        <f>T(Calculations!G14)</f>
        <v>Combination to validate on Q17.</v>
      </c>
    </row>
    <row r="18" spans="1:12" ht="27" customHeight="1">
      <c r="A18" s="66" t="str">
        <f>Calculations!A17</f>
        <v>C20</v>
      </c>
      <c r="B18" s="66" t="str">
        <f>Calculations!B17</f>
        <v>FDA38N30</v>
      </c>
      <c r="C18" s="66" t="str">
        <f>Calculations!C17</f>
        <v>FQA36P15</v>
      </c>
      <c r="D18" s="66" t="str">
        <f>IF(Config!$B$3="FR",Calculations!CD17,IF(Calculations!CD17="A – TRÈS BON CANDIDAT","A – VERY GOOD CANDIDATE",IF(Calculations!CD17="B – BON CANDIDAT","B – GOOD CANDIDATE",IF(Calculations!CD17="C – À ÉTUDIER","C – NEEDS REVIEW",IF(Calculations!CD17="X – INADAPTÉ","X – UNSUITABLE",Calculations!CD17)))))</f>
        <v>A – VERY GOOD CANDIDATE</v>
      </c>
      <c r="E18" s="70">
        <f>Calculations!BI17</f>
        <v>0.917606100795756</v>
      </c>
      <c r="F18" s="70">
        <f>Calculations!CE17</f>
        <v>1</v>
      </c>
      <c r="G18" s="36">
        <f>IF(Calculations!BJ17="","",Calculations!BJ17)</f>
        <v>0.66666666666666663</v>
      </c>
      <c r="H18" s="69" t="str">
        <f>IF(Config!$B$3="FR",Calculations!CG17,IF(Calculations!CG17="Aucune","None",Calculations!CG17))</f>
        <v>None</v>
      </c>
      <c r="I18" s="71">
        <f>Calculations!BB17</f>
        <v>100</v>
      </c>
      <c r="J18" s="71">
        <f>Calculations!BC17</f>
        <v>100</v>
      </c>
      <c r="K18" s="69" t="str">
        <f>IF(Config!$B$3="FR",IF(Calculations!CH17="VALIDÉ R14/R15","VALIDÉ",Calculations!CH17),IF(Calculations!CH17="VALIDÉ R14/R15","VALIDATED",IF(Calculations!CH17="VALIDATION INCOMPLÈTE","INCOMPLETE VALIDATION",IF(Calculations!CH17="TESTÉ – À ÉVALUER","TESTED – TO REVIEW",IF(Calculations!CH17="REJETÉ","REJECTED","NOT TESTED")))))</f>
        <v>NOT TESTED</v>
      </c>
      <c r="L18" s="66" t="str">
        <f>T(Calculations!G17)</f>
        <v>Combination to validate on Q17.</v>
      </c>
    </row>
    <row r="19" spans="1:12" ht="27" customHeight="1">
      <c r="A19" s="65" t="str">
        <f>Calculations!A18</f>
        <v>C21</v>
      </c>
      <c r="B19" s="65" t="str">
        <f>Calculations!B18</f>
        <v>FDA38N30</v>
      </c>
      <c r="C19" s="65" t="str">
        <f>Calculations!C18</f>
        <v>IXTQ36P15P</v>
      </c>
      <c r="D19" s="65" t="str">
        <f>IF(Config!$B$3="FR",Calculations!CD18,IF(Calculations!CD18="A – TRÈS BON CANDIDAT","A – VERY GOOD CANDIDATE",IF(Calculations!CD18="B – BON CANDIDAT","B – GOOD CANDIDATE",IF(Calculations!CD18="C – À ÉTUDIER","C – NEEDS REVIEW",IF(Calculations!CD18="X – INADAPTÉ","X – UNSUITABLE",Calculations!CD18)))))</f>
        <v>B – GOOD CANDIDATE</v>
      </c>
      <c r="E19" s="73">
        <f>Calculations!BI18</f>
        <v>0.79981491935483873</v>
      </c>
      <c r="F19" s="73">
        <f>Calculations!CE18</f>
        <v>0.82</v>
      </c>
      <c r="G19" s="37">
        <f>IF(Calculations!BJ18="","",Calculations!BJ18)</f>
        <v>0.6428571428571429</v>
      </c>
      <c r="H19" s="72" t="str">
        <f>IF(Config!$B$3="FR",Calculations!CG18,IF(Calculations!CG18="Aucune","None",Calculations!CG18))</f>
        <v>None</v>
      </c>
      <c r="I19" s="74">
        <f>Calculations!BB18</f>
        <v>100</v>
      </c>
      <c r="J19" s="74">
        <f>Calculations!BC18</f>
        <v>82</v>
      </c>
      <c r="K19" s="72" t="str">
        <f>IF(Config!$B$3="FR",IF(Calculations!CH18="VALIDÉ R14/R15","VALIDÉ",Calculations!CH18),IF(Calculations!CH18="VALIDÉ R14/R15","VALIDATED",IF(Calculations!CH18="VALIDATION INCOMPLÈTE","INCOMPLETE VALIDATION",IF(Calculations!CH18="TESTÉ – À ÉVALUER","TESTED – TO REVIEW",IF(Calculations!CH18="REJETÉ","REJECTED","NOT TESTED")))))</f>
        <v>NOT TESTED</v>
      </c>
      <c r="L19" s="65" t="str">
        <f>T(Calculations!G18)</f>
        <v>Combination to validate on Q17.</v>
      </c>
    </row>
    <row r="20" spans="1:12" ht="27" customHeight="1">
      <c r="A20" s="66" t="str">
        <f>Calculations!A19</f>
        <v>C22</v>
      </c>
      <c r="B20" s="66" t="str">
        <f>Calculations!B19</f>
        <v>FDA38N30</v>
      </c>
      <c r="C20" s="66" t="str">
        <f>Calculations!C19</f>
        <v>IXTQ26P20P</v>
      </c>
      <c r="D20" s="66" t="str">
        <f>IF(Config!$B$3="FR",Calculations!CD19,IF(Calculations!CD19="A – TRÈS BON CANDIDAT","A – VERY GOOD CANDIDATE",IF(Calculations!CD19="B – BON CANDIDAT","B – GOOD CANDIDATE",IF(Calculations!CD19="C – À ÉTUDIER","C – NEEDS REVIEW",IF(Calculations!CD19="X – INADAPTÉ","X – UNSUITABLE",Calculations!CD19)))))</f>
        <v>A – VERY GOOD CANDIDATE</v>
      </c>
      <c r="E20" s="70">
        <f>Calculations!BI19</f>
        <v>0.88745697188416173</v>
      </c>
      <c r="F20" s="70">
        <f>Calculations!CE19</f>
        <v>0.91</v>
      </c>
      <c r="G20" s="36">
        <f>IF(Calculations!BJ19="","",Calculations!BJ19)</f>
        <v>0.7142857142857143</v>
      </c>
      <c r="H20" s="69" t="str">
        <f>IF(Config!$B$3="FR",Calculations!CG19,IF(Calculations!CG19="Aucune","None",Calculations!CG19))</f>
        <v>None</v>
      </c>
      <c r="I20" s="71">
        <f>Calculations!BB19</f>
        <v>100</v>
      </c>
      <c r="J20" s="71">
        <f>Calculations!BC19</f>
        <v>91</v>
      </c>
      <c r="K20" s="69" t="str">
        <f>IF(Config!$B$3="FR",IF(Calculations!CH19="VALIDÉ R14/R15","VALIDÉ",Calculations!CH19),IF(Calculations!CH19="VALIDÉ R14/R15","VALIDATED",IF(Calculations!CH19="VALIDATION INCOMPLÈTE","INCOMPLETE VALIDATION",IF(Calculations!CH19="TESTÉ – À ÉVALUER","TESTED – TO REVIEW",IF(Calculations!CH19="REJETÉ","REJECTED","NOT TESTED")))))</f>
        <v>NOT TESTED</v>
      </c>
      <c r="L20" s="66" t="str">
        <f>T(Calculations!G19)</f>
        <v>Combination to validate on Q17.</v>
      </c>
    </row>
    <row r="21" spans="1:12" ht="27" customHeight="1">
      <c r="A21" s="65" t="str">
        <f>Calculations!A20</f>
        <v>C23</v>
      </c>
      <c r="B21" s="65" t="str">
        <f>Calculations!B20</f>
        <v>STW46NF30</v>
      </c>
      <c r="C21" s="65" t="str">
        <f>Calculations!C20</f>
        <v>FQA36P15</v>
      </c>
      <c r="D21" s="65" t="str">
        <f>IF(Config!$B$3="FR",Calculations!CD20,IF(Calculations!CD20="A – TRÈS BON CANDIDAT","A – VERY GOOD CANDIDATE",IF(Calculations!CD20="B – BON CANDIDAT","B – GOOD CANDIDATE",IF(Calculations!CD20="C – À ÉTUDIER","C – NEEDS REVIEW",IF(Calculations!CD20="X – INADAPTÉ","X – UNSUITABLE",Calculations!CD20)))))</f>
        <v>A – VERY GOOD CANDIDATE</v>
      </c>
      <c r="E21" s="73">
        <f>Calculations!BI20</f>
        <v>0.85428875836394824</v>
      </c>
      <c r="F21" s="73">
        <f>Calculations!CE20</f>
        <v>0.83333333333333337</v>
      </c>
      <c r="G21" s="37">
        <f>IF(Calculations!BJ20="","",Calculations!BJ20)</f>
        <v>0.95238095238095233</v>
      </c>
      <c r="H21" s="72" t="str">
        <f>IF(Config!$B$3="FR",Calculations!CG20,IF(Calculations!CG20="Aucune","None",Calculations!CG20))</f>
        <v>None</v>
      </c>
      <c r="I21" s="74">
        <f>Calculations!BB20</f>
        <v>100</v>
      </c>
      <c r="J21" s="74">
        <f>Calculations!BC20</f>
        <v>120</v>
      </c>
      <c r="K21" s="72" t="str">
        <f>IF(Config!$B$3="FR",IF(Calculations!CH20="VALIDÉ R14/R15","VALIDÉ",Calculations!CH20),IF(Calculations!CH20="VALIDÉ R14/R15","VALIDATED",IF(Calculations!CH20="VALIDATION INCOMPLÈTE","INCOMPLETE VALIDATION",IF(Calculations!CH20="TESTÉ – À ÉVALUER","TESTED – TO REVIEW",IF(Calculations!CH20="REJETÉ","REJECTED","NOT TESTED")))))</f>
        <v>NOT TESTED</v>
      </c>
      <c r="L21" s="65" t="str">
        <f>T(Calculations!G20)</f>
        <v>Combination to validate on Q17.</v>
      </c>
    </row>
    <row r="22" spans="1:12" ht="27" customHeight="1">
      <c r="A22" s="66" t="str">
        <f>Calculations!A21</f>
        <v>C24</v>
      </c>
      <c r="B22" s="66" t="str">
        <f>Calculations!B21</f>
        <v>STW46NF30</v>
      </c>
      <c r="C22" s="66" t="str">
        <f>Calculations!C21</f>
        <v>IXTQ36P15P</v>
      </c>
      <c r="D22" s="66" t="str">
        <f>IF(Config!$B$3="FR",Calculations!CD21,IF(Calculations!CD21="A – TRÈS BON CANDIDAT","A – VERY GOOD CANDIDATE",IF(Calculations!CD21="B – BON CANDIDAT","B – GOOD CANDIDATE",IF(Calculations!CD21="C – À ÉTUDIER","C – NEEDS REVIEW",IF(Calculations!CD21="X – INADAPTÉ","X – UNSUITABLE",Calculations!CD21)))))</f>
        <v>A – VERY GOOD CANDIDATE</v>
      </c>
      <c r="E22" s="70">
        <f>Calculations!BI21</f>
        <v>0.92870223134786611</v>
      </c>
      <c r="F22" s="70">
        <f>Calculations!CE21</f>
        <v>1</v>
      </c>
      <c r="G22" s="36">
        <f>IF(Calculations!BJ21="","",Calculations!BJ21)</f>
        <v>0.45</v>
      </c>
      <c r="H22" s="69" t="str">
        <f>IF(Config!$B$3="FR",Calculations!CG21,IF(Calculations!CG21="Aucune","None",Calculations!CG21))</f>
        <v>None</v>
      </c>
      <c r="I22" s="71">
        <f>Calculations!BB21</f>
        <v>100</v>
      </c>
      <c r="J22" s="71">
        <f>Calculations!BC21</f>
        <v>100</v>
      </c>
      <c r="K22" s="69" t="str">
        <f>IF(Config!$B$3="FR",IF(Calculations!CH21="VALIDÉ R14/R15","VALIDÉ",Calculations!CH21),IF(Calculations!CH21="VALIDÉ R14/R15","VALIDATED",IF(Calculations!CH21="VALIDATION INCOMPLÈTE","INCOMPLETE VALIDATION",IF(Calculations!CH21="TESTÉ – À ÉVALUER","TESTED – TO REVIEW",IF(Calculations!CH21="REJETÉ","REJECTED","NOT TESTED")))))</f>
        <v>NOT TESTED</v>
      </c>
      <c r="L22" s="66" t="str">
        <f>T(Calculations!G21)</f>
        <v>Combination to validate on Q17.</v>
      </c>
    </row>
    <row r="23" spans="1:12" ht="27" customHeight="1">
      <c r="A23" s="65" t="str">
        <f>Calculations!A22</f>
        <v>C25</v>
      </c>
      <c r="B23" s="65" t="str">
        <f>Calculations!B22</f>
        <v>STW46NF30</v>
      </c>
      <c r="C23" s="65" t="str">
        <f>Calculations!C22</f>
        <v>IXTQ26P20P</v>
      </c>
      <c r="D23" s="65" t="str">
        <f>IF(Config!$B$3="FR",Calculations!CD22,IF(Calculations!CD22="A – TRÈS BON CANDIDAT","A – VERY GOOD CANDIDATE",IF(Calculations!CD22="B – BON CANDIDAT","B – GOOD CANDIDATE",IF(Calculations!CD22="C – À ÉTUDIER","C – NEEDS REVIEW",IF(Calculations!CD22="X – INADAPTÉ","X – UNSUITABLE",Calculations!CD22)))))</f>
        <v>A – VERY GOOD CANDIDATE</v>
      </c>
      <c r="E23" s="73">
        <f>Calculations!BI22</f>
        <v>0.88847546200226568</v>
      </c>
      <c r="F23" s="73">
        <f>Calculations!CE22</f>
        <v>0.90909090909090906</v>
      </c>
      <c r="G23" s="37">
        <f>IF(Calculations!BJ22="","",Calculations!BJ22)</f>
        <v>0.5</v>
      </c>
      <c r="H23" s="72" t="str">
        <f>IF(Config!$B$3="FR",Calculations!CG22,IF(Calculations!CG22="Aucune","None",Calculations!CG22))</f>
        <v>None</v>
      </c>
      <c r="I23" s="74">
        <f>Calculations!BB22</f>
        <v>100</v>
      </c>
      <c r="J23" s="74">
        <f>Calculations!BC22</f>
        <v>110</v>
      </c>
      <c r="K23" s="72" t="str">
        <f>IF(Config!$B$3="FR",IF(Calculations!CH22="VALIDÉ R14/R15","VALIDÉ",Calculations!CH22),IF(Calculations!CH22="VALIDÉ R14/R15","VALIDATED",IF(Calculations!CH22="VALIDATION INCOMPLÈTE","INCOMPLETE VALIDATION",IF(Calculations!CH22="TESTÉ – À ÉVALUER","TESTED – TO REVIEW",IF(Calculations!CH22="REJETÉ","REJECTED","NOT TESTED")))))</f>
        <v>NOT TESTED</v>
      </c>
      <c r="L23" s="65" t="str">
        <f>T(Calculations!G22)</f>
        <v>Combination to validate on Q17.</v>
      </c>
    </row>
    <row r="24" spans="1:12" ht="15" customHeight="1">
      <c r="A24" s="78"/>
      <c r="B24" s="78"/>
      <c r="C24" s="78"/>
      <c r="D24" s="78"/>
      <c r="E24" s="79"/>
      <c r="F24" s="79"/>
      <c r="G24" s="78"/>
      <c r="H24" s="78"/>
      <c r="I24" s="78"/>
      <c r="J24" s="78"/>
      <c r="K24" s="78"/>
      <c r="L24" s="78"/>
    </row>
    <row r="25" spans="1:12" ht="46" customHeight="1">
      <c r="A25" s="84" t="str">
        <f>IF(Config!$B$3="FR","Lecture : A = très bon candidat théorique ; B = bon candidat ; C = à étudier davantage. Une classe A n’est pas une validation expérimentale. Inversement, un essai réel réussi ne modifie pas la classe théorique."&amp;CHAR(10)&amp;"Ceff : similitude des capacités effectives de grille Q15/Q16 • Rgate : proximité des résistances R14/R15 • Qgd : similitude des charges grille-drain (Miller) Q15/Q16 • Nombre élevé = meilleur ; 100 % = accord idéal","Reading: A = very good theoretical candidate; B = good candidate; C = requires further review. Class A is not experimental validation. Conversely, a successful real-world test does not change the theoretical class."&amp;CHAR(10)&amp;"Ceff: similarity of effective gate capacitances Q15/Q16 • Rgate: closeness of R14/R15 resistor values • Qgd: similarity of gate-drain (Miller) charges Q15/Q16 • Higher value = better; 100% = ideal match")</f>
        <v>Reading: A = very good theoretical candidate; B = good candidate; C = requires further review. Class A is not experimental validation. Conversely, a successful real-world test does not change the theoretical class.
Ceff: similarity of effective gate capacitances Q15/Q16 • Rgate: closeness of R14/R15 resistor values • Qgd: similarity of gate-drain (Miller) charges Q15/Q16 • Higher value = better; 100% = ideal match</v>
      </c>
      <c r="B25" s="84"/>
      <c r="C25" s="84"/>
      <c r="D25" s="84"/>
      <c r="E25" s="85"/>
      <c r="F25" s="85"/>
      <c r="G25" s="84"/>
      <c r="H25" s="84"/>
      <c r="I25" s="84"/>
      <c r="J25" s="84"/>
      <c r="K25" s="84"/>
      <c r="L25" s="84"/>
    </row>
  </sheetData>
  <mergeCells count="6">
    <mergeCell ref="A25:L25"/>
    <mergeCell ref="A1:L1"/>
    <mergeCell ref="A3:L3"/>
    <mergeCell ref="A2:C2"/>
    <mergeCell ref="H2:I2"/>
    <mergeCell ref="E2:F2"/>
  </mergeCells>
  <conditionalFormatting sqref="D6:D17">
    <cfRule type="expression" dxfId="19" priority="4">
      <formula>LEFT(D6,1)="A"</formula>
    </cfRule>
    <cfRule type="expression" dxfId="18" priority="5">
      <formula>LEFT(D6,1)="B"</formula>
    </cfRule>
    <cfRule type="expression" dxfId="17" priority="6">
      <formula>LEFT(D6,1)="C"</formula>
    </cfRule>
  </conditionalFormatting>
  <conditionalFormatting sqref="D18:D23">
    <cfRule type="expression" dxfId="16" priority="52">
      <formula>LEFT(D18,1)="C"</formula>
    </cfRule>
    <cfRule type="expression" dxfId="15" priority="50">
      <formula>LEFT(D18,1)="A"</formula>
    </cfRule>
    <cfRule type="expression" dxfId="14" priority="51">
      <formula>LEFT(D18,1)="B"</formula>
    </cfRule>
    <cfRule type="expression" dxfId="13" priority="53">
      <formula>LEFT(D18,1)="X"</formula>
    </cfRule>
  </conditionalFormatting>
  <conditionalFormatting sqref="E6:E23">
    <cfRule type="dataBar" priority="61">
      <dataBar>
        <cfvo type="num" val="0"/>
        <cfvo type="num" val="1"/>
        <color rgb="FFA02B93"/>
      </dataBar>
      <extLst>
        <ext xmlns:x14="http://schemas.microsoft.com/office/spreadsheetml/2009/9/main" uri="{B025F937-C7B1-47D3-B67F-A62EFF666E3E}">
          <x14:id>{427B18CE-3324-BF4E-85F8-5D84E590CE33}</x14:id>
        </ext>
      </extLst>
    </cfRule>
    <cfRule type="dataBar" priority="63">
      <dataBar>
        <cfvo type="num" val="0"/>
        <cfvo type="num" val="1"/>
        <color rgb="FFA02B93"/>
      </dataBar>
      <extLst>
        <ext xmlns:x14="http://schemas.microsoft.com/office/spreadsheetml/2009/9/main" uri="{B025F937-C7B1-47D3-B67F-A62EFF666E3E}">
          <x14:id>{1769C42D-F06F-E5D6-4D49-D35F703AB3DE}</x14:id>
        </ext>
      </extLst>
    </cfRule>
  </conditionalFormatting>
  <conditionalFormatting sqref="F6:F23">
    <cfRule type="dataBar" priority="62">
      <dataBar>
        <cfvo type="num" val="0"/>
        <cfvo type="num" val="1"/>
        <color rgb="FF0F9ED5"/>
      </dataBar>
      <extLst>
        <ext xmlns:x14="http://schemas.microsoft.com/office/spreadsheetml/2009/9/main" uri="{B025F937-C7B1-47D3-B67F-A62EFF666E3E}">
          <x14:id>{D0C8E738-BCE3-C047-AC46-262E21FC772F}</x14:id>
        </ext>
      </extLst>
    </cfRule>
    <cfRule type="dataBar" priority="64">
      <dataBar>
        <cfvo type="num" val="0"/>
        <cfvo type="num" val="1"/>
        <color rgb="FF0F9ED5"/>
      </dataBar>
      <extLst>
        <ext xmlns:x14="http://schemas.microsoft.com/office/spreadsheetml/2009/9/main" uri="{B025F937-C7B1-47D3-B67F-A62EFF666E3E}">
          <x14:id>{AECDF9AD-3304-5612-E71D-125A1DEFC536}</x14:id>
        </ext>
      </extLst>
    </cfRule>
  </conditionalFormatting>
  <conditionalFormatting sqref="H6:H17">
    <cfRule type="expression" dxfId="12" priority="20">
      <formula>AND(H6&lt;&gt;"Aucune",H6&lt;&gt;"None")</formula>
    </cfRule>
  </conditionalFormatting>
  <conditionalFormatting sqref="H6:H23">
    <cfRule type="expression" dxfId="11" priority="19">
      <formula>OR(H6="Aucune",H6="None")</formula>
    </cfRule>
  </conditionalFormatting>
  <conditionalFormatting sqref="H18:H23">
    <cfRule type="expression" dxfId="10" priority="55">
      <formula>AND(H18&lt;&gt;"Aucune",H18&lt;&gt;"None")</formula>
    </cfRule>
  </conditionalFormatting>
  <conditionalFormatting sqref="K6:K17">
    <cfRule type="expression" dxfId="9" priority="42">
      <formula>OR(K6="VALIDÉ",K6="VALIDATED")</formula>
    </cfRule>
    <cfRule type="expression" dxfId="8" priority="43">
      <formula>OR(K6="TESTÉ – À ÉVALUER",K6="TESTED – TO REVIEW")</formula>
    </cfRule>
    <cfRule type="expression" dxfId="7" priority="44">
      <formula>OR(K6="VALIDATION INCOMPLÈTE",K6="INCOMPLETE VALIDATION")</formula>
    </cfRule>
    <cfRule type="expression" dxfId="6" priority="45">
      <formula>OR(K6="REJETÉ",K6="REJECTED")</formula>
    </cfRule>
    <cfRule type="expression" dxfId="5" priority="46">
      <formula>OR(K6="NON TESTÉ",K6="NOT TESTED")</formula>
    </cfRule>
  </conditionalFormatting>
  <conditionalFormatting sqref="K18:K23">
    <cfRule type="expression" dxfId="4" priority="56">
      <formula>OR(K18="VALIDÉ",K18="VALIDATED")</formula>
    </cfRule>
    <cfRule type="expression" dxfId="3" priority="57">
      <formula>OR(K18="TESTÉ – À ÉVALUER",K18="TESTED – TO REVIEW")</formula>
    </cfRule>
    <cfRule type="expression" dxfId="2" priority="58">
      <formula>OR(K18="VALIDATION INCOMPLÈTE",K18="INCOMPLETE VALIDATION")</formula>
    </cfRule>
    <cfRule type="expression" dxfId="1" priority="59">
      <formula>OR(K18="REJETÉ",K18="REJECTED")</formula>
    </cfRule>
    <cfRule type="expression" dxfId="0" priority="60">
      <formula>OR(K18="NON TESTÉ",K18="NOT TESTED")</formula>
    </cfRule>
  </conditionalFormatting>
  <pageMargins left="0.7" right="0.7" top="0.75" bottom="0.75" header="0.3" footer="0.3"/>
  <pageSetup paperSize="9" scale="68" orientation="landscape" horizontalDpi="0" verticalDpi="0"/>
  <extLst>
    <ext xmlns:x14="http://schemas.microsoft.com/office/spreadsheetml/2009/9/main" uri="{78C0D931-6437-407d-A8EE-F0AAD7539E65}">
      <x14:conditionalFormattings>
        <x14:conditionalFormatting xmlns:xm="http://schemas.microsoft.com/office/excel/2006/main">
          <x14:cfRule type="dataBar" id="{427B18CE-3324-BF4E-85F8-5D84E590CE33}">
            <x14:dataBar minLength="0" maxLength="100">
              <x14:cfvo type="num">
                <xm:f>0</xm:f>
              </x14:cfvo>
              <x14:cfvo type="num">
                <xm:f>1</xm:f>
              </x14:cfvo>
              <x14:negativeFillColor auto="1"/>
              <x14:axisColor auto="1"/>
            </x14:dataBar>
          </x14:cfRule>
          <x14:cfRule type="dataBar" id="{1769C42D-F06F-E5D6-4D49-D35F703AB3DE}">
            <x14:dataBar minLength="0" maxLength="100">
              <x14:cfvo type="num">
                <xm:f>0</xm:f>
              </x14:cfvo>
              <x14:cfvo type="num">
                <xm:f>1</xm:f>
              </x14:cfvo>
              <x14:negativeFillColor auto="1"/>
              <x14:axisColor auto="1"/>
            </x14:dataBar>
          </x14:cfRule>
          <xm:sqref>E6:E23</xm:sqref>
        </x14:conditionalFormatting>
        <x14:conditionalFormatting xmlns:xm="http://schemas.microsoft.com/office/excel/2006/main">
          <x14:cfRule type="dataBar" id="{D0C8E738-BCE3-C047-AC46-262E21FC772F}">
            <x14:dataBar minLength="0" maxLength="100">
              <x14:cfvo type="num">
                <xm:f>0</xm:f>
              </x14:cfvo>
              <x14:cfvo type="num">
                <xm:f>1</xm:f>
              </x14:cfvo>
              <x14:negativeFillColor auto="1"/>
              <x14:axisColor auto="1"/>
            </x14:dataBar>
          </x14:cfRule>
          <x14:cfRule type="dataBar" id="{AECDF9AD-3304-5612-E71D-125A1DEFC536}">
            <x14:dataBar minLength="0" maxLength="100">
              <x14:cfvo type="num">
                <xm:f>0</xm:f>
              </x14:cfvo>
              <x14:cfvo type="num">
                <xm:f>1</xm:f>
              </x14:cfvo>
              <x14:negativeFillColor auto="1"/>
              <x14:axisColor auto="1"/>
            </x14:dataBar>
          </x14:cfRule>
          <xm:sqref>F6:F23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Config</vt:lpstr>
      <vt:lpstr>Selection</vt:lpstr>
      <vt:lpstr>Calculations</vt:lpstr>
      <vt:lpstr>MOSFET</vt:lpstr>
      <vt:lpstr>Notes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Utilisateur Microsoft Office</cp:lastModifiedBy>
  <cp:lastPrinted>2026-10-09T07:16:23Z</cp:lastPrinted>
  <dcterms:modified xsi:type="dcterms:W3CDTF">2026-10-09T07:16:24Z</dcterms:modified>
</cp:coreProperties>
</file>
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sleclerc/Desktop/"/>
    </mc:Choice>
  </mc:AlternateContent>
  <xr:revisionPtr revIDLastSave="0" documentId="13_ncr:1_{D402CC8D-8E1E-4240-8C2A-0C21767DA3A5}" xr6:coauthVersionLast="47" xr6:coauthVersionMax="47" xr10:uidLastSave="{00000000-0000-0000-0000-000000000000}"/>
  <bookViews>
    <workbookView xWindow="0" yWindow="600" windowWidth="51200" windowHeight="26860" activeTab="6" xr2:uid="{00000000-000D-0000-FFFF-FFFF00000000}"/>
  </bookViews>
  <sheets>
    <sheet name="Config" sheetId="1" r:id="rId1"/>
    <sheet name="Selection" sheetId="2" r:id="rId2"/>
    <sheet name="Calculations" sheetId="3" r:id="rId3"/>
    <sheet name="MOSFET" sheetId="4" r:id="rId4"/>
    <sheet name="Validation" sheetId="5" r:id="rId5"/>
    <sheet name="Notes" sheetId="6" r:id="rId6"/>
    <sheet name="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7" l="1"/>
  <c r="C11" i="7"/>
  <c r="D10" i="7"/>
  <c r="C10" i="7"/>
  <c r="D9" i="7"/>
  <c r="C9" i="7"/>
  <c r="D8" i="7"/>
  <c r="C8" i="7"/>
  <c r="D7" i="7"/>
  <c r="C7" i="7"/>
  <c r="D6" i="7"/>
  <c r="C6" i="7"/>
  <c r="G9" i="5"/>
  <c r="G8" i="5"/>
  <c r="G7" i="5"/>
  <c r="G6" i="5"/>
  <c r="G5" i="5"/>
  <c r="G4" i="5"/>
  <c r="Z19" i="4"/>
  <c r="Y19" i="4"/>
  <c r="W19" i="4"/>
  <c r="X19" i="4" s="1"/>
  <c r="V19" i="4" s="1"/>
  <c r="Z18" i="4"/>
  <c r="Y18" i="4"/>
  <c r="X18" i="4"/>
  <c r="V18" i="4" s="1"/>
  <c r="W18" i="4"/>
  <c r="Z17" i="4"/>
  <c r="Y17" i="4"/>
  <c r="X17" i="4"/>
  <c r="V17" i="4" s="1"/>
  <c r="W17" i="4"/>
  <c r="Z16" i="4"/>
  <c r="Y16" i="4"/>
  <c r="W16" i="4"/>
  <c r="X16" i="4" s="1"/>
  <c r="Z15" i="4"/>
  <c r="Y15" i="4"/>
  <c r="W15" i="4"/>
  <c r="X15" i="4" s="1"/>
  <c r="Z14" i="4"/>
  <c r="Y14" i="4"/>
  <c r="X14" i="4"/>
  <c r="V14" i="4" s="1"/>
  <c r="W14" i="4"/>
  <c r="Z13" i="4"/>
  <c r="Y13" i="4"/>
  <c r="W13" i="4"/>
  <c r="X13" i="4" s="1"/>
  <c r="V13" i="4" s="1"/>
  <c r="Z12" i="4"/>
  <c r="Y12" i="4"/>
  <c r="W12" i="4"/>
  <c r="X12" i="4" s="1"/>
  <c r="V12" i="4" s="1"/>
  <c r="Z11" i="4"/>
  <c r="Y11" i="4"/>
  <c r="X11" i="4"/>
  <c r="V11" i="4" s="1"/>
  <c r="W11" i="4"/>
  <c r="Z10" i="4"/>
  <c r="Y10" i="4"/>
  <c r="W10" i="4"/>
  <c r="X10" i="4" s="1"/>
  <c r="Z9" i="4"/>
  <c r="Y9" i="4"/>
  <c r="X9" i="4"/>
  <c r="W9" i="4"/>
  <c r="V9" i="4"/>
  <c r="Z8" i="4"/>
  <c r="Y8" i="4"/>
  <c r="W8" i="4"/>
  <c r="X8" i="4" s="1"/>
  <c r="Z7" i="4"/>
  <c r="Y7" i="4"/>
  <c r="W7" i="4"/>
  <c r="X7" i="4" s="1"/>
  <c r="Z6" i="4"/>
  <c r="Y6" i="4"/>
  <c r="X6" i="4"/>
  <c r="V6" i="4" s="1"/>
  <c r="W6" i="4"/>
  <c r="Z5" i="4"/>
  <c r="Y5" i="4"/>
  <c r="X5" i="4"/>
  <c r="V5" i="4" s="1"/>
  <c r="W5" i="4"/>
  <c r="Z4" i="4"/>
  <c r="Y4" i="4"/>
  <c r="W4" i="4"/>
  <c r="X4" i="4" s="1"/>
  <c r="AA10" i="3"/>
  <c r="Z10" i="3"/>
  <c r="Y10" i="3"/>
  <c r="X10" i="3"/>
  <c r="W10" i="3"/>
  <c r="V10" i="3"/>
  <c r="U10" i="3"/>
  <c r="AI10" i="3" s="1"/>
  <c r="H11" i="7" s="1"/>
  <c r="T10" i="3"/>
  <c r="S10" i="3"/>
  <c r="AG10" i="3" s="1"/>
  <c r="R10" i="3"/>
  <c r="AF10" i="3" s="1"/>
  <c r="AH10" i="3" s="1"/>
  <c r="G11" i="7" s="1"/>
  <c r="P10" i="3"/>
  <c r="O10" i="3"/>
  <c r="N10" i="3"/>
  <c r="M10" i="3"/>
  <c r="L10" i="3"/>
  <c r="J10" i="3"/>
  <c r="I10" i="3"/>
  <c r="H10" i="3"/>
  <c r="G10" i="3"/>
  <c r="F10" i="3"/>
  <c r="E10" i="3"/>
  <c r="J11" i="7" s="1"/>
  <c r="D10" i="3"/>
  <c r="AA9" i="3"/>
  <c r="Z9" i="3"/>
  <c r="Y9" i="3"/>
  <c r="X9" i="3"/>
  <c r="W9" i="3"/>
  <c r="V9" i="3"/>
  <c r="U9" i="3"/>
  <c r="T9" i="3"/>
  <c r="S9" i="3"/>
  <c r="AG9" i="3" s="1"/>
  <c r="R9" i="3"/>
  <c r="AF9" i="3" s="1"/>
  <c r="AH9" i="3" s="1"/>
  <c r="G10" i="7" s="1"/>
  <c r="P9" i="3"/>
  <c r="N9" i="3"/>
  <c r="M9" i="3"/>
  <c r="J9" i="3"/>
  <c r="I9" i="3"/>
  <c r="H9" i="3"/>
  <c r="G9" i="3"/>
  <c r="O9" i="3" s="1"/>
  <c r="F9" i="3"/>
  <c r="E9" i="3"/>
  <c r="J10" i="7" s="1"/>
  <c r="D9" i="3"/>
  <c r="AA8" i="3"/>
  <c r="Z8" i="3"/>
  <c r="Y8" i="3"/>
  <c r="X8" i="3"/>
  <c r="W8" i="3"/>
  <c r="V8" i="3"/>
  <c r="U8" i="3"/>
  <c r="AI8" i="3" s="1"/>
  <c r="H9" i="7" s="1"/>
  <c r="T8" i="3"/>
  <c r="S8" i="3"/>
  <c r="AG8" i="3" s="1"/>
  <c r="R8" i="3"/>
  <c r="P8" i="3"/>
  <c r="O8" i="3"/>
  <c r="N8" i="3"/>
  <c r="M8" i="3"/>
  <c r="J8" i="3"/>
  <c r="I8" i="3"/>
  <c r="H8" i="3"/>
  <c r="G8" i="3"/>
  <c r="F8" i="3"/>
  <c r="E8" i="3"/>
  <c r="J9" i="7" s="1"/>
  <c r="D8" i="3"/>
  <c r="AA7" i="3"/>
  <c r="Z7" i="3"/>
  <c r="Y7" i="3"/>
  <c r="X7" i="3"/>
  <c r="W7" i="3"/>
  <c r="V7" i="3"/>
  <c r="U7" i="3"/>
  <c r="AI7" i="3" s="1"/>
  <c r="H8" i="7" s="1"/>
  <c r="T7" i="3"/>
  <c r="S7" i="3"/>
  <c r="AG7" i="3" s="1"/>
  <c r="R7" i="3"/>
  <c r="AF7" i="3" s="1"/>
  <c r="AH7" i="3" s="1"/>
  <c r="G8" i="7" s="1"/>
  <c r="N7" i="3"/>
  <c r="M7" i="3"/>
  <c r="K7" i="3"/>
  <c r="J7" i="3"/>
  <c r="I7" i="3"/>
  <c r="P7" i="3" s="1"/>
  <c r="H7" i="3"/>
  <c r="G7" i="3"/>
  <c r="O7" i="3" s="1"/>
  <c r="F7" i="3"/>
  <c r="E7" i="3"/>
  <c r="J8" i="7" s="1"/>
  <c r="D7" i="3"/>
  <c r="AA6" i="3"/>
  <c r="Z6" i="3"/>
  <c r="Y6" i="3"/>
  <c r="X6" i="3"/>
  <c r="W6" i="3"/>
  <c r="V6" i="3"/>
  <c r="U6" i="3"/>
  <c r="T6" i="3"/>
  <c r="S6" i="3"/>
  <c r="AI6" i="3" s="1"/>
  <c r="H7" i="7" s="1"/>
  <c r="R6" i="3"/>
  <c r="AF6" i="3" s="1"/>
  <c r="N6" i="3"/>
  <c r="M6" i="3"/>
  <c r="J6" i="3"/>
  <c r="P6" i="3" s="1"/>
  <c r="I6" i="3"/>
  <c r="H6" i="3"/>
  <c r="G6" i="3"/>
  <c r="O6" i="3" s="1"/>
  <c r="F6" i="3"/>
  <c r="E6" i="3"/>
  <c r="J7" i="7" s="1"/>
  <c r="D6" i="3"/>
  <c r="AA5" i="3"/>
  <c r="Z5" i="3"/>
  <c r="Y5" i="3"/>
  <c r="X5" i="3"/>
  <c r="W5" i="3"/>
  <c r="V5" i="3"/>
  <c r="U5" i="3"/>
  <c r="AI5" i="3" s="1"/>
  <c r="H6" i="7" s="1"/>
  <c r="T5" i="3"/>
  <c r="S5" i="3"/>
  <c r="AG5" i="3" s="1"/>
  <c r="R5" i="3"/>
  <c r="AF5" i="3" s="1"/>
  <c r="AH5" i="3" s="1"/>
  <c r="G6" i="7" s="1"/>
  <c r="P5" i="3"/>
  <c r="N5" i="3"/>
  <c r="M5" i="3"/>
  <c r="J5" i="3"/>
  <c r="I5" i="3"/>
  <c r="H5" i="3"/>
  <c r="O5" i="3" s="1"/>
  <c r="G5" i="3"/>
  <c r="F5" i="3"/>
  <c r="E5" i="3"/>
  <c r="J6" i="7" s="1"/>
  <c r="D5" i="3"/>
  <c r="F31" i="2"/>
  <c r="F30" i="2"/>
  <c r="F29" i="2"/>
  <c r="F28" i="2"/>
  <c r="F27" i="2"/>
  <c r="F26" i="2"/>
  <c r="B20" i="2"/>
  <c r="H5" i="2"/>
  <c r="B10" i="2" s="1"/>
  <c r="B51" i="1"/>
  <c r="B46" i="1"/>
  <c r="B40" i="1"/>
  <c r="V8" i="4" l="1"/>
  <c r="L5" i="3"/>
  <c r="AC5" i="3" s="1"/>
  <c r="F6" i="7" s="1"/>
  <c r="AB9" i="3"/>
  <c r="E10" i="7" s="1"/>
  <c r="V7" i="4"/>
  <c r="L6" i="3"/>
  <c r="AC6" i="3" s="1"/>
  <c r="F7" i="7" s="1"/>
  <c r="AJ5" i="3"/>
  <c r="V15" i="4"/>
  <c r="L7" i="3"/>
  <c r="V16" i="4"/>
  <c r="K9" i="3"/>
  <c r="Q7" i="3"/>
  <c r="V10" i="4"/>
  <c r="L8" i="3"/>
  <c r="K5" i="3"/>
  <c r="Q5" i="3" s="1"/>
  <c r="AM5" i="3" s="1"/>
  <c r="K6" i="3"/>
  <c r="Q6" i="3" s="1"/>
  <c r="AM6" i="3" s="1"/>
  <c r="K7" i="7" s="1"/>
  <c r="K8" i="3"/>
  <c r="Q8" i="3" s="1"/>
  <c r="V4" i="4"/>
  <c r="AC8" i="3"/>
  <c r="F9" i="7" s="1"/>
  <c r="E10" i="2"/>
  <c r="AB7" i="3"/>
  <c r="E8" i="7" s="1"/>
  <c r="AF8" i="3"/>
  <c r="AH8" i="3" s="1"/>
  <c r="G9" i="7" s="1"/>
  <c r="D14" i="2"/>
  <c r="F10" i="2"/>
  <c r="H15" i="2"/>
  <c r="AC7" i="3"/>
  <c r="F8" i="7" s="1"/>
  <c r="AI9" i="3"/>
  <c r="H10" i="7" s="1"/>
  <c r="K10" i="3"/>
  <c r="Q10" i="3" s="1"/>
  <c r="H14" i="2"/>
  <c r="B19" i="2"/>
  <c r="H9" i="2"/>
  <c r="F14" i="2"/>
  <c r="H10" i="2"/>
  <c r="C19" i="2"/>
  <c r="AB5" i="3"/>
  <c r="E6" i="7" s="1"/>
  <c r="L9" i="3"/>
  <c r="AC9" i="3" s="1"/>
  <c r="F10" i="7" s="1"/>
  <c r="AG6" i="3"/>
  <c r="AH6" i="3" s="1"/>
  <c r="G7" i="7" s="1"/>
  <c r="B9" i="2"/>
  <c r="B21" i="2"/>
  <c r="E9" i="2"/>
  <c r="H13" i="2"/>
  <c r="C21" i="2"/>
  <c r="AC10" i="3"/>
  <c r="F11" i="7" s="1"/>
  <c r="F9" i="2"/>
  <c r="B14" i="2"/>
  <c r="B22" i="2"/>
  <c r="C22" i="2"/>
  <c r="C20" i="2"/>
  <c r="K6" i="7" l="1"/>
  <c r="G10" i="2"/>
  <c r="G9" i="2"/>
  <c r="AK5" i="3"/>
  <c r="D13" i="2" s="1"/>
  <c r="B13" i="2"/>
  <c r="I6" i="7"/>
  <c r="AJ6" i="3"/>
  <c r="AB10" i="3"/>
  <c r="E11" i="7" s="1"/>
  <c r="AB8" i="3"/>
  <c r="AM8" i="3"/>
  <c r="K9" i="7" s="1"/>
  <c r="F15" i="2"/>
  <c r="AM7" i="3"/>
  <c r="K8" i="7" s="1"/>
  <c r="AM10" i="3"/>
  <c r="K11" i="7" s="1"/>
  <c r="AJ7" i="3"/>
  <c r="AB6" i="3"/>
  <c r="E7" i="7" s="1"/>
  <c r="Q9" i="3"/>
  <c r="AL5" i="3" l="1"/>
  <c r="F13" i="2" s="1"/>
  <c r="E9" i="7"/>
  <c r="AJ8" i="3"/>
  <c r="AK6" i="3"/>
  <c r="AL6" i="3" s="1"/>
  <c r="I7" i="7"/>
  <c r="AM9" i="3"/>
  <c r="K10" i="7" s="1"/>
  <c r="AJ9" i="3"/>
  <c r="AK7" i="3"/>
  <c r="AL7" i="3" s="1"/>
  <c r="I8" i="7"/>
  <c r="AJ10" i="3"/>
  <c r="I11" i="7" l="1"/>
  <c r="AK10" i="3"/>
  <c r="AL10" i="3" s="1"/>
  <c r="AK9" i="3"/>
  <c r="AL9" i="3" s="1"/>
  <c r="I10" i="7"/>
  <c r="AK8" i="3"/>
  <c r="AL8" i="3" s="1"/>
  <c r="I9" i="7"/>
</calcChain>
</file>

<file path=xl/sharedStrings.xml><?xml version="1.0" encoding="utf-8"?>
<sst xmlns="http://schemas.openxmlformats.org/spreadsheetml/2006/main" count="633" uniqueCount="402">
  <si>
    <t>Q17 Q5/Q6 — MOSFET Compatibility Configuration</t>
  </si>
  <si>
    <t>Compatibility-only model for the Q17 Q5/Q6 Class-A driver/error path. R7 = 100 Ω and R8 = 100 Ω are fixed implementation values; this workbook never calculates alternate resistor values.</t>
  </si>
  <si>
    <t>GENERAL</t>
  </si>
  <si>
    <t>Workbook version</t>
  </si>
  <si>
    <t>New workbook derived from Q17_Q5-Q6_R7-R8_Rgate_Calculator_1.0b11.</t>
  </si>
  <si>
    <t>Release date</t>
  </si>
  <si>
    <t>Current release date.</t>
  </si>
  <si>
    <t>FIXED Q17 GATE RESISTORS</t>
  </si>
  <si>
    <t>R7 fixed value</t>
  </si>
  <si>
    <t>Ω</t>
  </si>
  <si>
    <t>Hard value; not optimized.</t>
  </si>
  <si>
    <t>R8 fixed value</t>
  </si>
  <si>
    <t>Q17 OPERATING POINT</t>
  </si>
  <si>
    <t>Rail magnitude</t>
  </si>
  <si>
    <t>V</t>
  </si>
  <si>
    <t>Reference rail magnitude.</t>
  </si>
  <si>
    <t>Q5/Q6 standing current</t>
  </si>
  <si>
    <t>A</t>
  </si>
  <si>
    <t>≈632 mV / 8.2 Ω from project data.</t>
  </si>
  <si>
    <t>Nominal Q5/Q6 VDS</t>
  </si>
  <si>
    <t>Editable modeling value.</t>
  </si>
  <si>
    <t>Target case temperature</t>
  </si>
  <si>
    <t>°C</t>
  </si>
  <si>
    <t>Thermal sanity-check assumption.</t>
  </si>
  <si>
    <t>HARD ELIGIBILITY SCREENS</t>
  </si>
  <si>
    <t>Minimum |Vdss|</t>
  </si>
  <si>
    <t>Hard Q17 engineering screen.</t>
  </si>
  <si>
    <t>Id safety factor</t>
  </si>
  <si>
    <t>× Iq</t>
  </si>
  <si>
    <t>Idmax must be at least Iq × factor.</t>
  </si>
  <si>
    <t>Minimum thermal margin</t>
  </si>
  <si>
    <t>Hard thermal sanity screen.</t>
  </si>
  <si>
    <t>Thermal full-score margin</t>
  </si>
  <si>
    <t>Ranking normalization only.</t>
  </si>
  <si>
    <t>ROLE-SPECIFIC BASELINES — CURRENT Q17 IMPLEMENTATION</t>
  </si>
  <si>
    <t>Parameter</t>
  </si>
  <si>
    <t>Q5 baseline</t>
  </si>
  <si>
    <t>Q6 baseline</t>
  </si>
  <si>
    <t>Use</t>
  </si>
  <si>
    <t>Ciss (pF)</t>
  </si>
  <si>
    <t>Absolute gate-load burden; lower/equal to baseline receives full score.</t>
  </si>
  <si>
    <t>Qg (nC)</t>
  </si>
  <si>
    <t>Absolute gate-charge burden.</t>
  </si>
  <si>
    <t>Qgd (nC)</t>
  </si>
  <si>
    <t>Absolute Miller-charge burden.</t>
  </si>
  <si>
    <t>Crss (pF)</t>
  </si>
  <si>
    <t>Absolute reverse-transfer capacitance burden.</t>
  </si>
  <si>
    <t>Coss (pF)</t>
  </si>
  <si>
    <t>Absolute output-capacitance burden.</t>
  </si>
  <si>
    <t>INDIVIDUAL DEVICE SUITABILITY WEIGHTS</t>
  </si>
  <si>
    <t>Ciss burden</t>
  </si>
  <si>
    <t>Role-specific baseline ratio.</t>
  </si>
  <si>
    <t>Qg burden</t>
  </si>
  <si>
    <t>Qgd burden</t>
  </si>
  <si>
    <t>Crss burden</t>
  </si>
  <si>
    <t>Coss burden</t>
  </si>
  <si>
    <t>Thermal headroom</t>
  </si>
  <si>
    <t>min(1, thermal margin / full-score margin).</t>
  </si>
  <si>
    <t>Implementation / insulation</t>
  </si>
  <si>
    <t>1.00 insulated; 0.90 non-insulated.</t>
  </si>
  <si>
    <t>Weight total</t>
  </si>
  <si>
    <t>Must equal 100%.</t>
  </si>
  <si>
    <t>PAIR DYNAMIC-BALANCE WEIGHTS WITH R7 = R8 = 100 Ω</t>
  </si>
  <si>
    <t>Fixed-100 Ω pole / Ciss symmetry</t>
  </si>
  <si>
    <t>Dominant pair-balance term because R7 and R8 are fixed equal.</t>
  </si>
  <si>
    <t>Qg similarity</t>
  </si>
  <si>
    <t>Secondary pairwise dynamic indicator.</t>
  </si>
  <si>
    <t>Qgd similarity</t>
  </si>
  <si>
    <t>Secondary Miller-charge indicator.</t>
  </si>
  <si>
    <t>OVERALL COMPATIBILITY MODEL</t>
  </si>
  <si>
    <t>Worst individual device suitability</t>
  </si>
  <si>
    <t>MIN(Q5,Q6): one weak device must not be hidden by the other.</t>
  </si>
  <si>
    <t>Pair dynamic balance</t>
  </si>
  <si>
    <t>Fixed-100 Ω pair-balance score.</t>
  </si>
  <si>
    <t>VGS(th) / low-current transfer</t>
  </si>
  <si>
    <t>Not scored: published ~77 mA transfer data are not equally precise for all candidates.</t>
  </si>
  <si>
    <t>FIT STAR THRESHOLDS</t>
  </si>
  <si>
    <t>***** minimum compatibility score</t>
  </si>
  <si>
    <t>**** minimum compatibility score</t>
  </si>
  <si>
    <t>*** minimum compatibility score</t>
  </si>
  <si>
    <t>** minimum compatibility score</t>
  </si>
  <si>
    <t>stars</t>
  </si>
  <si>
    <t>Bench validation remains authoritative.</t>
  </si>
  <si>
    <t>Q5/Q6 MOSFET Compatibility — Q17</t>
  </si>
  <si>
    <t>Select Q5/Q6 for the real Q17 driver/error role. R7 = 100 Ω and R8 = 100 Ω are fixed.</t>
  </si>
  <si>
    <t>Version</t>
  </si>
  <si>
    <t>Date</t>
  </si>
  <si>
    <t>PAIR SELECTION / SÉLECTION DU COUPLE</t>
  </si>
  <si>
    <t>MOSFET pair / Couple MOSFET</t>
  </si>
  <si>
    <t>FQPF7P20 / FQPF3N80C</t>
  </si>
  <si>
    <t>Pair ID</t>
  </si>
  <si>
    <t>FIXED Q17 IMPLEMENTATION</t>
  </si>
  <si>
    <t>Position</t>
  </si>
  <si>
    <t>MOSFET</t>
  </si>
  <si>
    <t>Fixed resistor</t>
  </si>
  <si>
    <t>Value</t>
  </si>
  <si>
    <t>Bench result</t>
  </si>
  <si>
    <t>Availability</t>
  </si>
  <si>
    <t>Q5 P</t>
  </si>
  <si>
    <t>R7</t>
  </si>
  <si>
    <t>Q6 N</t>
  </si>
  <si>
    <t>R8</t>
  </si>
  <si>
    <t>COMPATIBILITY SCORE</t>
  </si>
  <si>
    <t>Overall compatibility</t>
  </si>
  <si>
    <t>Fit stars</t>
  </si>
  <si>
    <t>Final Q17 stars</t>
  </si>
  <si>
    <t>Q5 suitability</t>
  </si>
  <si>
    <t>Q6 suitability</t>
  </si>
  <si>
    <t>Pair balance</t>
  </si>
  <si>
    <t>100 Ω pole mismatch</t>
  </si>
  <si>
    <t>Fixed R7</t>
  </si>
  <si>
    <t>Fixed R8</t>
  </si>
  <si>
    <t>Hard-screen status</t>
  </si>
  <si>
    <t>KEY DEVICE DATA</t>
  </si>
  <si>
    <t>Q5</t>
  </si>
  <si>
    <t>Q6</t>
  </si>
  <si>
    <t>Interpretation</t>
  </si>
  <si>
    <t>Absolute gate-load burden and fixed-100 Ω pole balance.</t>
  </si>
  <si>
    <t>Qg / Qgd (nC)</t>
  </si>
  <si>
    <t>Absolute drive burden; pair similarity is secondary.</t>
  </si>
  <si>
    <t>Crss / Coss (pF)</t>
  </si>
  <si>
    <t>Absolute parasitic-capacitance burden.</t>
  </si>
  <si>
    <t>Thermal margin (°C)</t>
  </si>
  <si>
    <t>Modeled sanity-check margin at the configured Q17 operating point.</t>
  </si>
  <si>
    <t>Q17 PHYSICAL TEST INPUT — FIXED R7 = R8 = 100 Ω</t>
  </si>
  <si>
    <t>MOSFET pair</t>
  </si>
  <si>
    <t>Test notes</t>
  </si>
  <si>
    <t>Status</t>
  </si>
  <si>
    <t>P8</t>
  </si>
  <si>
    <t>FQPF7P20 / FQP3N80C</t>
  </si>
  <si>
    <t>P7</t>
  </si>
  <si>
    <t>IRFI9620GPBF / IRFI620GPBF</t>
  </si>
  <si>
    <t>P21</t>
  </si>
  <si>
    <t>FQPF7P20 / FQPF4N90C</t>
  </si>
  <si>
    <t>P10</t>
  </si>
  <si>
    <t>IRFI9630GPBF / IRFI630GPBF</t>
  </si>
  <si>
    <t>P22</t>
  </si>
  <si>
    <t>FQP3P20 / FQP3N30</t>
  </si>
  <si>
    <t>P1</t>
  </si>
  <si>
    <t>Q5/Q6 MOSFET Compatibility — Q17 Pair Calculations</t>
  </si>
  <si>
    <t>R7 and R8 are fixed at 100 Ω. Q5 and Q6 are scored for their individual Q17 roles, then a smaller pair-balance term evaluates the fixed equal resistors.</t>
  </si>
  <si>
    <t>Pair</t>
  </si>
  <si>
    <t>Q5 P-channel</t>
  </si>
  <si>
    <t>Q6 N-channel</t>
  </si>
  <si>
    <t>Vdss P</t>
  </si>
  <si>
    <t>Vdss N</t>
  </si>
  <si>
    <t>Idmax P</t>
  </si>
  <si>
    <t>Idmax N</t>
  </si>
  <si>
    <t>Thermal margin P</t>
  </si>
  <si>
    <t>Thermal margin N</t>
  </si>
  <si>
    <t>Insulated P</t>
  </si>
  <si>
    <t>Insulated N</t>
  </si>
  <si>
    <t>Vdss screen</t>
  </si>
  <si>
    <t>Id screen</t>
  </si>
  <si>
    <t>Thermal screen</t>
  </si>
  <si>
    <t>Ciss P</t>
  </si>
  <si>
    <t>Ciss N</t>
  </si>
  <si>
    <t>Qg P</t>
  </si>
  <si>
    <t>Qg N</t>
  </si>
  <si>
    <t>Qgd P</t>
  </si>
  <si>
    <t>Qgd N</t>
  </si>
  <si>
    <t>Crss P</t>
  </si>
  <si>
    <t>Crss N</t>
  </si>
  <si>
    <t>Coss P</t>
  </si>
  <si>
    <t>Coss N</t>
  </si>
  <si>
    <t>Fixed R7 (Ω)</t>
  </si>
  <si>
    <t>Fixed R8 (Ω)</t>
  </si>
  <si>
    <t>fQ5 @100Ω (MHz)</t>
  </si>
  <si>
    <t>fQ6 @100Ω (MHz)</t>
  </si>
  <si>
    <t>100Ω pole mismatch</t>
  </si>
  <si>
    <t>FQPF7P20</t>
  </si>
  <si>
    <t>FQPF3N80C</t>
  </si>
  <si>
    <t>FQP3N80C</t>
  </si>
  <si>
    <t>IRFI9620GPBF</t>
  </si>
  <si>
    <t>IRFI620GPBF</t>
  </si>
  <si>
    <t>FQPF4N90C</t>
  </si>
  <si>
    <t>IRFI9630GPBF</t>
  </si>
  <si>
    <t>IRFI630GPBF</t>
  </si>
  <si>
    <t>FQP3P20</t>
  </si>
  <si>
    <t>FQP3N30</t>
  </si>
  <si>
    <t>Q17 Q5/Q6 — MOSFET Compatibility Database</t>
  </si>
  <si>
    <t>Manufacturer-datasheet data copied from the source workbook. R7/R8 are fixed at 100 Ω. gfs and VGS(th) are intentionally omitted from the score.</t>
  </si>
  <si>
    <t>Model</t>
  </si>
  <si>
    <t>Role</t>
  </si>
  <si>
    <t>Channel</t>
  </si>
  <si>
    <t>Manufacturer</t>
  </si>
  <si>
    <t>Vdss (V)</t>
  </si>
  <si>
    <t>Id max (A)</t>
  </si>
  <si>
    <t>Pd @Tc25 (W)</t>
  </si>
  <si>
    <t>RθJC max (°C/W)</t>
  </si>
  <si>
    <t>Tj max (°C)</t>
  </si>
  <si>
    <t>Ciss typ (pF)</t>
  </si>
  <si>
    <t>Coss typ (pF)</t>
  </si>
  <si>
    <t>Crss typ (pF)</t>
  </si>
  <si>
    <t>Qg typ (nC)</t>
  </si>
  <si>
    <t>Qgd typ (nC)</t>
  </si>
  <si>
    <t>Package</t>
  </si>
  <si>
    <t>Insulated</t>
  </si>
  <si>
    <t>Manufacturer datasheet</t>
  </si>
  <si>
    <t>Distributor note</t>
  </si>
  <si>
    <t>Mouser URL</t>
  </si>
  <si>
    <t>Data note</t>
  </si>
  <si>
    <t>Preselect</t>
  </si>
  <si>
    <t>Tj est (°C)</t>
  </si>
  <si>
    <t>Vdss headroom</t>
  </si>
  <si>
    <t>Id headroom</t>
  </si>
  <si>
    <t>P</t>
  </si>
  <si>
    <t>onsemi</t>
  </si>
  <si>
    <t>TO-220F</t>
  </si>
  <si>
    <t>YES</t>
  </si>
  <si>
    <t>https://www.onsemi.com/download/data-sheet/pdf/fqpf7p20-d.pdf</t>
  </si>
  <si>
    <t>Current Q17 Q5 baseline</t>
  </si>
  <si>
    <t>CURRENT</t>
  </si>
  <si>
    <t>onsemi manufacturer datasheet</t>
  </si>
  <si>
    <t>TO-220</t>
  </si>
  <si>
    <t>NO</t>
  </si>
  <si>
    <t>https://www.onsemi.com/pdf/datasheet/fqp3p20-d.pdf</t>
  </si>
  <si>
    <t>ARCHIVE — historical Q17 reference; no longer available</t>
  </si>
  <si>
    <t>ARCHIVE</t>
  </si>
  <si>
    <t>Historical Q17 reference; no longer sourced for new builds</t>
  </si>
  <si>
    <t>N</t>
  </si>
  <si>
    <t>https://www.onsemi.com/pdf/datasheet/fqp3n30-d.pdf</t>
  </si>
  <si>
    <t>ARCHIVE — historical companion to FQP3P20</t>
  </si>
  <si>
    <t>Historical companion to FQP3P20</t>
  </si>
  <si>
    <t>https://www.onsemi.com/download/data-sheet/pdf/fqpf3n80c-d.pdf</t>
  </si>
  <si>
    <t>Same manufacturer datasheet covers FQP3N80C and FQPF3N80C</t>
  </si>
  <si>
    <t>onsemi; non-insulated version of 3N80C</t>
  </si>
  <si>
    <t>Current Q17 Q6 baseline</t>
  </si>
  <si>
    <t>FQPF2N80</t>
  </si>
  <si>
    <t>https://www.onsemi.com/download/data-sheet/pdf/fqpf2n80-d.pdf</t>
  </si>
  <si>
    <t>Existing Q17 candidate</t>
  </si>
  <si>
    <t>DATABASE</t>
  </si>
  <si>
    <t>Not retained in current &gt;=3-star pair list</t>
  </si>
  <si>
    <t>https://www.onsemi.com/download/data-sheet/pdf/fqpf4n90c-d.pdf</t>
  </si>
  <si>
    <t>Current Q6 candidate</t>
  </si>
  <si>
    <t>IXFP30N25X3</t>
  </si>
  <si>
    <t>Littelfuse / IXYS</t>
  </si>
  <si>
    <t>https://www.littelfuse.com/assetdocs/littelfuse-discrete-mosfets-ixf-30n25x3-datasheet?assetguid=f98c5907-f43b-4415-a418-45a0a7855e6d</t>
  </si>
  <si>
    <t>Added from Mouser search 07/10/2026</t>
  </si>
  <si>
    <t>https://www.mouser.fr/fr/ProductDetail/IXYS/IXFP30N25X3</t>
  </si>
  <si>
    <t>High Ciss; retained for database comparison</t>
  </si>
  <si>
    <t>IXFP44N25X3</t>
  </si>
  <si>
    <t>https://www.littelfuse.com/assetdocs/littelfuse-discrete-mosfets-ixf-44n25x3-datasheet?assetguid=d4d53a59-e025-4cd0-9ea6-9898c3e6cbeb</t>
  </si>
  <si>
    <t>https://www.mouser.fr/fr/ProductDetail/IXYS/IXFP44N25X3</t>
  </si>
  <si>
    <t>IXFP38N30X3</t>
  </si>
  <si>
    <t>https://www.littelfuse.com/assetdocs/littelfuse-discrete-mosfets-ixf-38n30x3-datasheet?assetguid=bf5a0d57-37da-484a-a94b-aa873a26c7d4</t>
  </si>
  <si>
    <t>https://www.mouser.fr/fr/ProductDetail/IXYS/IXFP38N30X3</t>
  </si>
  <si>
    <t>Vishay</t>
  </si>
  <si>
    <t>TO-220 FULLPAK</t>
  </si>
  <si>
    <t>https://www.vishay.com/docs/91166/irfi9620g.pdf</t>
  </si>
  <si>
    <t>New Q5 candidate; FULLPAK isolated</t>
  </si>
  <si>
    <t>https://eu.mouser.com/ProductDetail/Vishay-Semiconductors/IRFI9620GPBF</t>
  </si>
  <si>
    <t>Vishay manufacturer datasheet</t>
  </si>
  <si>
    <t>https://www.vishay.com/docs/91146/91146.pdf</t>
  </si>
  <si>
    <t>New Q6 candidate; FULLPAK isolated</t>
  </si>
  <si>
    <t>https://eu.mouser.com/ProductDetail/Vishay-Semiconductors/IRFI620GPBF</t>
  </si>
  <si>
    <t>https://www.vishay.com/docs/91167/irfi9630g.pdf</t>
  </si>
  <si>
    <t>Additional isolated Q5 candidate</t>
  </si>
  <si>
    <t>https://eu.mouser.com/ProductDetail/Vishay-Semiconductors/IRFI9630GPBF</t>
  </si>
  <si>
    <t>https://www.vishay.com/docs/91148/91148.pdf</t>
  </si>
  <si>
    <t>Additional isolated Q6 candidate</t>
  </si>
  <si>
    <t>https://eu.mouser.com/ProductDetail/Vishay-Semiconductors/IRFI630GPBF</t>
  </si>
  <si>
    <t>IRFI9640GPBF</t>
  </si>
  <si>
    <t>https://www.vishay.com/docs/91169/irfi9640g.pdf</t>
  </si>
  <si>
    <t>Additional isolated Q5 candidate; heavier gate load</t>
  </si>
  <si>
    <t>https://eu.mouser.com/ProductDetail/Vishay-Semiconductors/IRFI9640GPBF</t>
  </si>
  <si>
    <t>IRFI640GPBF</t>
  </si>
  <si>
    <t>https://www.vishay.com/docs/91150/91150.pdf</t>
  </si>
  <si>
    <t>Additional isolated Q6 candidate; heavier gate load</t>
  </si>
  <si>
    <t>https://eu.mouser.com/ProductDetail/Vishay-Semiconductors/IRFI640GPBF</t>
  </si>
  <si>
    <t>Q17 Q5/Q6 — Evidence / Physical Validation at R7 = R8 = 100 Ω</t>
  </si>
  <si>
    <t>Evidence: NONE = calculation only; LEGACY = previous Q17 evidence; CURRENT = repeated on the current board. Bench result always refers to the fixed 100 Ω / 100 Ω implementation.</t>
  </si>
  <si>
    <t>Evidence</t>
  </si>
  <si>
    <t>Test notes / origin</t>
  </si>
  <si>
    <t>LEGACY</t>
  </si>
  <si>
    <t>PASS</t>
  </si>
  <si>
    <t>Legacy Q17 evidence at 100 Ω / 100 Ω; repeat on current 3.1 board.</t>
  </si>
  <si>
    <t>NONE</t>
  </si>
  <si>
    <t>NOT TESTED</t>
  </si>
  <si>
    <t>Non-insulated Q6 variant.</t>
  </si>
  <si>
    <t>Low absolute gate burden; larger fixed-100 Ω pole mismatch.</t>
  </si>
  <si>
    <t>Current candidate.</t>
  </si>
  <si>
    <t>Higher absolute gate burden.</t>
  </si>
  <si>
    <t>Historical/original pair; archive only for new builds.</t>
  </si>
  <si>
    <t>Q5/Q6 MOSFET Compatibility — Method, Assumptions and Validation</t>
  </si>
  <si>
    <t>Selection label</t>
  </si>
  <si>
    <t>Step</t>
  </si>
  <si>
    <t>Principle</t>
  </si>
  <si>
    <t>Why it is used</t>
  </si>
  <si>
    <t>Limit / validation</t>
  </si>
  <si>
    <t>Q5/Q6 are the Q17 Class-A driver/error devices; Iq ≈ 77.1 mA.</t>
  </si>
  <si>
    <t>Defines the real device role. They are not treated as a conventional matched complementary output pair.</t>
  </si>
  <si>
    <t>Use current-board measurements when available.</t>
  </si>
  <si>
    <t>R7 = 100 Ω and R8 = 100 Ω are fixed implementation values.</t>
  </si>
  <si>
    <t>Removes gate-resistor optimization from this workbook.</t>
  </si>
  <si>
    <t>The workbook only calculates the resulting fixed-100 Ω dynamic mismatch.</t>
  </si>
  <si>
    <t>Hard screens: |Vdss| ≥ 150 V; Idmax ≥ 5×Iq; thermal margin ≥ 30°C.</t>
  </si>
  <si>
    <t>Prevents a score from hiding an unsuitable device.</t>
  </si>
  <si>
    <t>Not a complete SOA/heatsink proof.</t>
  </si>
  <si>
    <t>Each device is scored against the current role-specific Q17 baseline.</t>
  </si>
  <si>
    <t>Optimizes Q5 and Q6 for their own roles rather than forcing N/P symmetry.</t>
  </si>
  <si>
    <t>Baseline scoring is an engineering screening heuristic.</t>
  </si>
  <si>
    <t>Individual score: Ciss 35%, Qg 15%, Qgd 10%, Crss 5%, Coss 5%, thermal 20%, implementation 10%.</t>
  </si>
  <si>
    <t>Emphasizes absolute driver burden and thermal/practical margin.</t>
  </si>
  <si>
    <t>Capacitances and charge vary with operating conditions.</t>
  </si>
  <si>
    <t>Fixed-100 Ω pair balance: Ciss/pole symmetry 70%, Qg similarity 15%, Qgd similarity 15%.</t>
  </si>
  <si>
    <t>Equal R7/R8 makes Ciss mismatch directly relevant to relative gate poles.</t>
  </si>
  <si>
    <t>Still first-order; validate on the amplifier.</t>
  </si>
  <si>
    <t>Overall compatibility = 80% × MIN(Q5 score,Q6 score) + 20% × pair balance.</t>
  </si>
  <si>
    <t>A weak device cannot be hidden by a strong partner.</t>
  </si>
  <si>
    <t>The 80/20 split is explicit and editable in Config.</t>
  </si>
  <si>
    <t>VGS(th), datasheet gfs and guessed |VGS|@77mA are not scored.</t>
  </si>
  <si>
    <t>Available low-current transfer data are not uniformly precise enough and the device roles are asymmetric.</t>
  </si>
  <si>
    <t>Use equally reliable measured/SPICE data if available later.</t>
  </si>
  <si>
    <t>Separates theoretical screening from physical evidence.</t>
  </si>
  <si>
    <t>SOURCES</t>
  </si>
  <si>
    <t>Source</t>
  </si>
  <si>
    <t>Type</t>
  </si>
  <si>
    <t>URL / reference</t>
  </si>
  <si>
    <t>Q17-Mini 3.1 technical documentation</t>
  </si>
  <si>
    <t>Project file</t>
  </si>
  <si>
    <t>Q17_Mini_3.1_Technical_Documentation_Draft_Rev_1.1.docx</t>
  </si>
  <si>
    <t>Q5/Q6 role and ~77.1 mA operating point.</t>
  </si>
  <si>
    <t>Manufacturer datasheets</t>
  </si>
  <si>
    <t>See MOSFET sheet URLs</t>
  </si>
  <si>
    <t>Current/historical onsemi devices.</t>
  </si>
  <si>
    <t>IRFI candidate devices.</t>
  </si>
  <si>
    <t>Database-only IXFP candidates.</t>
  </si>
  <si>
    <t>Legacy Q17 pair table</t>
  </si>
  <si>
    <t>Q17-Power-Transistors-Selection-Rgate.xlsx</t>
  </si>
  <si>
    <t>Historical P8 / P1 evidence at 100 Ω / 100 Ω.</t>
  </si>
  <si>
    <t>1.0b1 — NEW WORKBOOK OBJECTIVE</t>
  </si>
  <si>
    <t>Workbook</t>
  </si>
  <si>
    <t>Renamed to Q5_Q6_MOSFET_Compatibility_1.0b1.</t>
  </si>
  <si>
    <t>Primary objective is MOSFET compatibility/selection, not resistor calculation.</t>
  </si>
  <si>
    <t>Derived from source b11.</t>
  </si>
  <si>
    <t>R7/R8</t>
  </si>
  <si>
    <t>All E24/ideal/recommended resistor calculations removed.</t>
  </si>
  <si>
    <t>R7 and R8 are fixed at 100 Ω.</t>
  </si>
  <si>
    <t>Only the resulting fixed-100 Ω mismatch is displayed.</t>
  </si>
  <si>
    <t>Scoring</t>
  </si>
  <si>
    <t>Role-specific Q5/Q6 suitability + smaller pair-balance term.</t>
  </si>
  <si>
    <t>Better reflects the asymmetric Q5/Q6 Q17 roles.</t>
  </si>
  <si>
    <t>All weights are exposed in Config.</t>
  </si>
  <si>
    <t>Validation no longer asks for resistor values.</t>
  </si>
  <si>
    <t>1.0b2</t>
  </si>
  <si>
    <t>Added in-cell data bars to Summary Q5 score and Q6 score.</t>
  </si>
  <si>
    <t>Purple bar for Q5 and cyan bar for Q6, following the Q15/Q16 compatibility workbook presentation.</t>
  </si>
  <si>
    <t>Display-only change; compatibility calculations and ranking are unchanged.</t>
  </si>
  <si>
    <t>1.0b3</t>
  </si>
  <si>
    <t>Fixed Summary Q5/Q6 score data-bar scale.</t>
  </si>
  <si>
    <t>Data bars now use an absolute 0% to 100% scale instead of automatic min/max scaling.</t>
  </si>
  <si>
    <t>Display-only change; scores and ranking unchanged.</t>
  </si>
  <si>
    <t>1.0b4</t>
  </si>
  <si>
    <t>Added an in-cell data bar to Summary 100 Ω mismatch.</t>
  </si>
  <si>
    <t>Fixed 0% to 100% scale so bar length shows the true mismatch magnitude.</t>
  </si>
  <si>
    <t>1.0b5</t>
  </si>
  <si>
    <t>Added an in-cell data bar to Summary Compatibility.</t>
  </si>
  <si>
    <t>Fixed 0% to 100% scale, consistent with Q5 score, Q6 score and 100 Ω mismatch.</t>
  </si>
  <si>
    <t>1.0b6</t>
  </si>
  <si>
    <t>Renamed Summary 100 Ω mismatch header.</t>
  </si>
  <si>
    <t>Header now reads '100 Ω pole' / 'mismatch' on two centered lines.</t>
  </si>
  <si>
    <t>Display-only change; data bar and calculations are unchanged.</t>
  </si>
  <si>
    <t>Q5/Q6 MOSFET Compatibility — Q17 Summary</t>
  </si>
  <si>
    <t>Fixed R7/R8</t>
  </si>
  <si>
    <t>100 Ω / 100 Ω</t>
  </si>
  <si>
    <t>Pairs in table</t>
  </si>
  <si>
    <t>Current-build candidates are ranked by compatibility score. Archive devices remain visible in the same table but are kept last. Overall compatibility = 80% × weaker individual device score + 20% × fixed-100 Ω pair balance.</t>
  </si>
  <si>
    <t>No.</t>
  </si>
  <si>
    <t>Q5 (P)</t>
  </si>
  <si>
    <t>Q6 (N)</t>
  </si>
  <si>
    <t>Q5 score</t>
  </si>
  <si>
    <t>Q6 score</t>
  </si>
  <si>
    <t>100 Ω pole
mismatch</t>
  </si>
  <si>
    <t>Compatibility</t>
  </si>
  <si>
    <t>Preferred current-build reference: P8 (FQPF7P20 / FQPF3N80C). P7 is electrically close but uses a non-insulated Q6 package. P21 has low absolute gate burden but a larger fixed-100 Ω pole mismatch. P1 remains a strong historical comparison only.</t>
  </si>
  <si>
    <t>1.0b9</t>
  </si>
  <si>
    <t>Final Q17 rating remains capped without TESTED/PASS bench evidence on a non-archive pair.</t>
  </si>
  <si>
    <t>Maximum final stars without eligible TESTED/PASS</t>
  </si>
  <si>
    <t>Test evidence</t>
  </si>
  <si>
    <t>Test / bench</t>
  </si>
  <si>
    <t>TESTED</t>
  </si>
  <si>
    <t>Current Q17 physical test.</t>
  </si>
  <si>
    <t>Awaiting physical test.</t>
  </si>
  <si>
    <t>Historical Q17 physical test.</t>
  </si>
  <si>
    <t>Test evidence: NOT TESTED or TESTED. Bench result: NOT TESTED, PASS or FAIL. Status is automatic: NOT TESTED → WAITING VALIDATION; TESTED + PASS → VALIDATED; TESTED + FAIL → NOT VALIDATED.</t>
  </si>
  <si>
    <t>Fit stars describe calculated compatibility; uncapped final Q17 status requires TESTED/PASS bench evidence on a non-archive pair.</t>
  </si>
  <si>
    <t>Historical/ARCHIVE pairs remain capped even when their old bench test passed.</t>
  </si>
  <si>
    <t>Physical test input = NOT TESTED/TESTED + NOT TESTED/PASS/FAIL at fixed 100 Ω / 100 Ω.</t>
  </si>
  <si>
    <t>TESTED/PASS on a non-archive pair is required to uncap five-star final status.</t>
  </si>
  <si>
    <t>1.0b7</t>
  </si>
  <si>
    <t>Pair balance display and Summary data-bar cleanup.</t>
  </si>
  <si>
    <t>Pair balance is now displayed as a percentage. The four Summary data bars were rebuilt with one fixed 0%–100% rule each.</t>
  </si>
  <si>
    <t>No score formula or ranking changed.</t>
  </si>
  <si>
    <t>1.0b8</t>
  </si>
  <si>
    <t>Simplified Summary and Selection physical-test input.</t>
  </si>
  <si>
    <t>Removed Q17 stars from Summary. In Selection, removed unused Use and redundant Fixed R7/R8 columns; renamed Evidence to Test evidence and added a note explaining Bench result behavior.</t>
  </si>
  <si>
    <t>Bench-result logic is unchanged: Selection overrides Validation only when Test evidence is LEGACY or CURRENT.</t>
  </si>
  <si>
    <t>Simplified physical-test terminology.</t>
  </si>
  <si>
    <t>Test evidence is now NOT TESTED / TESTED. Status is now WAITING VALIDATION / VALIDATED / NOT VALIDATED and is calculated automatically from Test evidence + Bench result.</t>
  </si>
  <si>
    <t>Selection is the authoritative physical-test input. P8 and historical P1 are marked TESTED/PASS; untested candidates remain NOT TESTED.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</si>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</sst>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  <font>
      <sz val="11"/>
      <color rgb="FF222222"/>
      <name val="Carlito"/>
    </font>
    <font>
      <b/>
      <sz val="11"/>
      <color rgb="FF222222"/>
      <name val="Carlito"/>
    </font>
    <font>
      <i/>
      <sz val="11"/>
      <color rgb="FF222222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AF3F8"/>
      </patternFill>
    </fill>
  </fills>
  <borders count="10">
    <border>
      <left/>
      <right/>
      <top/>
      <bottom/>
      <diagonal/>
    </border>
    <border>
      <left style="thin">
        <color rgb="FFA6B8C5"/>
      </left>
      <right/>
      <top style="thin">
        <color rgb="FFA6B8C5"/>
      </top>
      <bottom/>
      <diagonal/>
    </border>
    <border>
      <left/>
      <right/>
      <top style="thin">
        <color rgb="FFA6B8C5"/>
      </top>
      <bottom/>
      <diagonal/>
    </border>
    <border>
      <left/>
      <right style="thin">
        <color rgb="FFA6B8C5"/>
      </right>
      <top style="thin">
        <color rgb="FFA6B8C5"/>
      </top>
      <bottom/>
      <diagonal/>
    </border>
    <border>
      <left style="thin">
        <color rgb="FFA6B8C5"/>
      </left>
      <right/>
      <top/>
      <bottom/>
      <diagonal/>
    </border>
    <border>
      <left/>
      <right style="thin">
        <color rgb="FFA6B8C5"/>
      </right>
      <top/>
      <bottom/>
      <diagonal/>
    </border>
    <border>
      <left style="thin">
        <color rgb="FFA6B8C5"/>
      </left>
      <right/>
      <top/>
      <bottom style="thin">
        <color rgb="FFA6B8C5"/>
      </bottom>
      <diagonal/>
    </border>
    <border>
      <left/>
      <right/>
      <top/>
      <bottom style="thin">
        <color rgb="FFA6B8C5"/>
      </bottom>
      <diagonal/>
    </border>
    <border>
      <left/>
      <right style="thin">
        <color rgb="FFA6B8C5"/>
      </right>
      <top/>
      <bottom style="thin">
        <color rgb="FFA6B8C5"/>
      </bottom>
      <diagonal/>
    </border>
    <border>
      <left style="thin">
        <color rgb="FFA6B8C5"/>
      </left>
      <right style="thin">
        <color rgb="FFA6B8C5"/>
      </right>
      <top style="thin">
        <color rgb="FFA6B8C5"/>
      </top>
      <bottom style="thin">
        <color rgb="FFA6B8C5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wrapText="1"/>
    </xf>
    <xf numFmtId="0" fontId="3" fillId="7" borderId="0" xfId="0" applyFont="1" applyFill="1" applyAlignment="1">
      <alignment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9" fontId="0" fillId="6" borderId="0" xfId="0" applyNumberFormat="1" applyFill="1" applyAlignment="1">
      <alignment horizontal="center" vertical="center" wrapText="1"/>
    </xf>
    <xf numFmtId="9" fontId="0" fillId="8" borderId="0" xfId="0" applyNumberFormat="1" applyFill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1" fillId="9" borderId="0" xfId="0" applyFont="1" applyFill="1" applyAlignment="1">
      <alignment wrapText="1"/>
    </xf>
    <xf numFmtId="0" fontId="1" fillId="9" borderId="1" xfId="0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 wrapText="1"/>
    </xf>
    <xf numFmtId="0" fontId="1" fillId="9" borderId="3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10" fontId="0" fillId="3" borderId="5" xfId="0" applyNumberFormat="1" applyFill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right" vertical="center"/>
    </xf>
    <xf numFmtId="164" fontId="4" fillId="12" borderId="0" xfId="0" applyNumberFormat="1" applyFont="1" applyFill="1" applyAlignment="1">
      <alignment horizontal="right" vertical="center"/>
    </xf>
    <xf numFmtId="10" fontId="4" fillId="12" borderId="0" xfId="0" applyNumberFormat="1" applyFont="1" applyFill="1" applyAlignment="1">
      <alignment horizontal="right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left" vertical="center"/>
    </xf>
    <xf numFmtId="0" fontId="4" fillId="12" borderId="7" xfId="0" applyFont="1" applyFill="1" applyBorder="1" applyAlignment="1">
      <alignment horizontal="left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right" vertical="center"/>
    </xf>
    <xf numFmtId="164" fontId="4" fillId="12" borderId="7" xfId="0" applyNumberFormat="1" applyFont="1" applyFill="1" applyBorder="1" applyAlignment="1">
      <alignment horizontal="right" vertical="center"/>
    </xf>
    <xf numFmtId="10" fontId="4" fillId="12" borderId="7" xfId="0" applyNumberFormat="1" applyFont="1" applyFill="1" applyBorder="1" applyAlignment="1">
      <alignment horizontal="right" vertical="center"/>
    </xf>
    <xf numFmtId="0" fontId="4" fillId="12" borderId="8" xfId="0" applyFont="1" applyFill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1" fillId="9" borderId="9" xfId="0" applyFont="1" applyFill="1" applyBorder="1" applyAlignment="1">
      <alignment horizont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left" vertical="center"/>
    </xf>
    <xf numFmtId="10" fontId="4" fillId="10" borderId="9" xfId="0" applyNumberFormat="1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6" borderId="9" xfId="0" applyFill="1" applyBorder="1" applyAlignment="1">
      <alignment vertical="center" wrapText="1"/>
    </xf>
    <xf numFmtId="14" fontId="5" fillId="6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6" fillId="17" borderId="0" xfId="0" applyFont="1" applyFill="1" applyAlignment="1">
      <alignment vertical="center" wrapText="1"/>
    </xf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5" borderId="0" xfId="0" applyFont="1" applyFill="1" applyAlignment="1">
      <alignment horizontal="right"/>
    </xf>
    <xf numFmtId="0" fontId="1" fillId="2" borderId="0" xfId="0" applyFont="1" applyFill="1" applyAlignment="1">
      <alignment vertical="center"/>
    </xf>
    <xf numFmtId="0" fontId="2" fillId="11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opLeftCell="A18" workbookViewId="0">
      <selection sqref="A1:D1"/>
    </sheetView>
  </sheetViews>
  <sheetFormatPr baseColWidth="10" defaultColWidth="8.83203125" defaultRowHeight="14"/>
  <cols>
    <col min="1" max="1" width="43" customWidth="1"/>
    <col min="2" max="2" width="20" customWidth="1"/>
    <col min="3" max="3" width="14" customWidth="1"/>
    <col min="4" max="4" width="64" customWidth="1"/>
  </cols>
  <sheetData>
    <row r="1" spans="1:4" ht="94.75" customHeight="1">
      <c r="A1" s="92" t="s">
        <v>0</v>
      </c>
      <c r="B1" s="92"/>
      <c r="C1" s="92"/>
      <c r="D1" s="92"/>
    </row>
    <row r="2" spans="1:4" ht="133" customHeight="1">
      <c r="A2" s="93" t="s">
        <v>1</v>
      </c>
      <c r="B2" s="93"/>
      <c r="C2" s="93"/>
      <c r="D2" s="93"/>
    </row>
    <row r="3" spans="1:4">
      <c r="A3" s="3"/>
      <c r="B3" s="3"/>
      <c r="C3" s="3"/>
      <c r="D3" s="3"/>
    </row>
    <row r="4" spans="1:4" ht="76" customHeight="1">
      <c r="A4" s="94" t="s">
        <v>2</v>
      </c>
      <c r="B4" s="94"/>
      <c r="C4" s="94"/>
      <c r="D4" s="94"/>
    </row>
    <row r="5" spans="1:4" ht="15">
      <c r="A5" s="6" t="s">
        <v>3</v>
      </c>
      <c r="B5" s="8" t="s">
        <v>376</v>
      </c>
      <c r="C5" s="8"/>
      <c r="D5" s="6" t="s">
        <v>4</v>
      </c>
    </row>
    <row r="6" spans="1:4" ht="15">
      <c r="A6" s="6" t="s">
        <v>5</v>
      </c>
      <c r="B6" s="9">
        <v>46303</v>
      </c>
      <c r="C6" s="8"/>
      <c r="D6" s="6" t="s">
        <v>6</v>
      </c>
    </row>
    <row r="7" spans="1:4">
      <c r="A7" s="6"/>
      <c r="B7" s="8"/>
      <c r="C7" s="8"/>
      <c r="D7" s="6"/>
    </row>
    <row r="8" spans="1:4" ht="76" customHeight="1">
      <c r="A8" s="90" t="s">
        <v>7</v>
      </c>
      <c r="B8" s="91"/>
      <c r="C8" s="91"/>
      <c r="D8" s="90"/>
    </row>
    <row r="9" spans="1:4" ht="15">
      <c r="A9" s="6" t="s">
        <v>8</v>
      </c>
      <c r="B9" s="10">
        <v>100</v>
      </c>
      <c r="C9" s="8" t="s">
        <v>9</v>
      </c>
      <c r="D9" s="6" t="s">
        <v>10</v>
      </c>
    </row>
    <row r="10" spans="1:4" ht="15">
      <c r="A10" s="6" t="s">
        <v>11</v>
      </c>
      <c r="B10" s="10">
        <v>100</v>
      </c>
      <c r="C10" s="8" t="s">
        <v>9</v>
      </c>
      <c r="D10" s="6" t="s">
        <v>10</v>
      </c>
    </row>
    <row r="11" spans="1:4">
      <c r="A11" s="6"/>
      <c r="B11" s="8"/>
      <c r="C11" s="8"/>
      <c r="D11" s="6"/>
    </row>
    <row r="12" spans="1:4" ht="76" customHeight="1">
      <c r="A12" s="90" t="s">
        <v>12</v>
      </c>
      <c r="B12" s="91"/>
      <c r="C12" s="91"/>
      <c r="D12" s="90"/>
    </row>
    <row r="13" spans="1:4" ht="15">
      <c r="A13" s="6" t="s">
        <v>13</v>
      </c>
      <c r="B13" s="11">
        <v>50</v>
      </c>
      <c r="C13" s="8" t="s">
        <v>14</v>
      </c>
      <c r="D13" s="6" t="s">
        <v>15</v>
      </c>
    </row>
    <row r="14" spans="1:4" ht="15">
      <c r="A14" s="6" t="s">
        <v>16</v>
      </c>
      <c r="B14" s="11">
        <v>7.7100000000000002E-2</v>
      </c>
      <c r="C14" s="8" t="s">
        <v>17</v>
      </c>
      <c r="D14" s="6" t="s">
        <v>18</v>
      </c>
    </row>
    <row r="15" spans="1:4" ht="15">
      <c r="A15" s="6" t="s">
        <v>19</v>
      </c>
      <c r="B15" s="11">
        <v>36</v>
      </c>
      <c r="C15" s="8" t="s">
        <v>14</v>
      </c>
      <c r="D15" s="6" t="s">
        <v>20</v>
      </c>
    </row>
    <row r="16" spans="1:4" ht="15">
      <c r="A16" s="6" t="s">
        <v>21</v>
      </c>
      <c r="B16" s="11">
        <v>70</v>
      </c>
      <c r="C16" s="8" t="s">
        <v>22</v>
      </c>
      <c r="D16" s="6" t="s">
        <v>23</v>
      </c>
    </row>
    <row r="17" spans="1:4">
      <c r="A17" s="6"/>
      <c r="B17" s="8"/>
      <c r="C17" s="8"/>
      <c r="D17" s="6"/>
    </row>
    <row r="18" spans="1:4" ht="76" customHeight="1">
      <c r="A18" s="90" t="s">
        <v>24</v>
      </c>
      <c r="B18" s="91"/>
      <c r="C18" s="91"/>
      <c r="D18" s="90"/>
    </row>
    <row r="19" spans="1:4" ht="15">
      <c r="A19" s="6" t="s">
        <v>25</v>
      </c>
      <c r="B19" s="11">
        <v>150</v>
      </c>
      <c r="C19" s="8" t="s">
        <v>14</v>
      </c>
      <c r="D19" s="6" t="s">
        <v>26</v>
      </c>
    </row>
    <row r="20" spans="1:4" ht="15">
      <c r="A20" s="6" t="s">
        <v>27</v>
      </c>
      <c r="B20" s="11">
        <v>5</v>
      </c>
      <c r="C20" s="8" t="s">
        <v>28</v>
      </c>
      <c r="D20" s="6" t="s">
        <v>29</v>
      </c>
    </row>
    <row r="21" spans="1:4" ht="15">
      <c r="A21" s="6" t="s">
        <v>30</v>
      </c>
      <c r="B21" s="11">
        <v>30</v>
      </c>
      <c r="C21" s="8" t="s">
        <v>22</v>
      </c>
      <c r="D21" s="6" t="s">
        <v>31</v>
      </c>
    </row>
    <row r="22" spans="1:4" ht="15">
      <c r="A22" s="6" t="s">
        <v>32</v>
      </c>
      <c r="B22" s="11">
        <v>60</v>
      </c>
      <c r="C22" s="8" t="s">
        <v>22</v>
      </c>
      <c r="D22" s="6" t="s">
        <v>33</v>
      </c>
    </row>
    <row r="23" spans="1:4">
      <c r="A23" s="6"/>
      <c r="B23" s="8"/>
      <c r="C23" s="8"/>
      <c r="D23" s="6"/>
    </row>
    <row r="24" spans="1:4" ht="76" customHeight="1">
      <c r="A24" s="90" t="s">
        <v>34</v>
      </c>
      <c r="B24" s="91"/>
      <c r="C24" s="91"/>
      <c r="D24" s="90"/>
    </row>
    <row r="25" spans="1:4" ht="16">
      <c r="A25" s="7" t="s">
        <v>35</v>
      </c>
      <c r="B25" s="12" t="s">
        <v>36</v>
      </c>
      <c r="C25" s="12" t="s">
        <v>37</v>
      </c>
      <c r="D25" s="7" t="s">
        <v>38</v>
      </c>
    </row>
    <row r="26" spans="1:4" ht="15">
      <c r="A26" s="6" t="s">
        <v>39</v>
      </c>
      <c r="B26" s="11">
        <v>590</v>
      </c>
      <c r="C26" s="11">
        <v>543</v>
      </c>
      <c r="D26" s="6" t="s">
        <v>40</v>
      </c>
    </row>
    <row r="27" spans="1:4" ht="15">
      <c r="A27" s="6" t="s">
        <v>41</v>
      </c>
      <c r="B27" s="11">
        <v>19</v>
      </c>
      <c r="C27" s="11">
        <v>13</v>
      </c>
      <c r="D27" s="6" t="s">
        <v>42</v>
      </c>
    </row>
    <row r="28" spans="1:4" ht="15">
      <c r="A28" s="6" t="s">
        <v>43</v>
      </c>
      <c r="B28" s="11">
        <v>9.5</v>
      </c>
      <c r="C28" s="11">
        <v>5.8</v>
      </c>
      <c r="D28" s="6" t="s">
        <v>44</v>
      </c>
    </row>
    <row r="29" spans="1:4" ht="15">
      <c r="A29" s="6" t="s">
        <v>45</v>
      </c>
      <c r="B29" s="11">
        <v>25</v>
      </c>
      <c r="C29" s="11">
        <v>5.5</v>
      </c>
      <c r="D29" s="6" t="s">
        <v>46</v>
      </c>
    </row>
    <row r="30" spans="1:4" ht="15">
      <c r="A30" s="6" t="s">
        <v>47</v>
      </c>
      <c r="B30" s="11">
        <v>140</v>
      </c>
      <c r="C30" s="11">
        <v>54</v>
      </c>
      <c r="D30" s="6" t="s">
        <v>48</v>
      </c>
    </row>
    <row r="31" spans="1:4">
      <c r="A31" s="6"/>
      <c r="B31" s="8"/>
      <c r="C31" s="8"/>
      <c r="D31" s="6"/>
    </row>
    <row r="32" spans="1:4" ht="76" customHeight="1">
      <c r="A32" s="90" t="s">
        <v>49</v>
      </c>
      <c r="B32" s="91"/>
      <c r="C32" s="91"/>
      <c r="D32" s="90"/>
    </row>
    <row r="33" spans="1:4" ht="15">
      <c r="A33" s="6" t="s">
        <v>50</v>
      </c>
      <c r="B33" s="13">
        <v>0.35</v>
      </c>
      <c r="C33" s="8"/>
      <c r="D33" s="6" t="s">
        <v>51</v>
      </c>
    </row>
    <row r="34" spans="1:4" ht="15">
      <c r="A34" s="6" t="s">
        <v>52</v>
      </c>
      <c r="B34" s="13">
        <v>0.15</v>
      </c>
      <c r="C34" s="8"/>
      <c r="D34" s="6" t="s">
        <v>51</v>
      </c>
    </row>
    <row r="35" spans="1:4" ht="15">
      <c r="A35" s="6" t="s">
        <v>53</v>
      </c>
      <c r="B35" s="13">
        <v>0.1</v>
      </c>
      <c r="C35" s="8"/>
      <c r="D35" s="6" t="s">
        <v>51</v>
      </c>
    </row>
    <row r="36" spans="1:4" ht="15">
      <c r="A36" s="6" t="s">
        <v>54</v>
      </c>
      <c r="B36" s="13">
        <v>0.05</v>
      </c>
      <c r="C36" s="8"/>
      <c r="D36" s="6" t="s">
        <v>51</v>
      </c>
    </row>
    <row r="37" spans="1:4" ht="15">
      <c r="A37" s="6" t="s">
        <v>55</v>
      </c>
      <c r="B37" s="13">
        <v>0.05</v>
      </c>
      <c r="C37" s="8"/>
      <c r="D37" s="6" t="s">
        <v>51</v>
      </c>
    </row>
    <row r="38" spans="1:4" ht="15">
      <c r="A38" s="6" t="s">
        <v>56</v>
      </c>
      <c r="B38" s="13">
        <v>0.2</v>
      </c>
      <c r="C38" s="8"/>
      <c r="D38" s="6" t="s">
        <v>57</v>
      </c>
    </row>
    <row r="39" spans="1:4" ht="15">
      <c r="A39" s="6" t="s">
        <v>58</v>
      </c>
      <c r="B39" s="13">
        <v>0.1</v>
      </c>
      <c r="C39" s="8"/>
      <c r="D39" s="6" t="s">
        <v>59</v>
      </c>
    </row>
    <row r="40" spans="1:4" ht="15">
      <c r="A40" s="6" t="s">
        <v>60</v>
      </c>
      <c r="B40" s="14">
        <f>SUM(B33:B39)</f>
        <v>1.0000000000000002</v>
      </c>
      <c r="C40" s="8"/>
      <c r="D40" s="6" t="s">
        <v>61</v>
      </c>
    </row>
    <row r="41" spans="1:4">
      <c r="A41" s="6"/>
      <c r="B41" s="8"/>
      <c r="C41" s="8"/>
      <c r="D41" s="6"/>
    </row>
    <row r="42" spans="1:4" ht="76" customHeight="1">
      <c r="A42" s="90" t="s">
        <v>62</v>
      </c>
      <c r="B42" s="91"/>
      <c r="C42" s="91"/>
      <c r="D42" s="90"/>
    </row>
    <row r="43" spans="1:4" ht="15">
      <c r="A43" s="6" t="s">
        <v>63</v>
      </c>
      <c r="B43" s="13">
        <v>0.7</v>
      </c>
      <c r="C43" s="8"/>
      <c r="D43" s="6" t="s">
        <v>64</v>
      </c>
    </row>
    <row r="44" spans="1:4" ht="15">
      <c r="A44" s="6" t="s">
        <v>65</v>
      </c>
      <c r="B44" s="13">
        <v>0.15</v>
      </c>
      <c r="C44" s="8"/>
      <c r="D44" s="6" t="s">
        <v>66</v>
      </c>
    </row>
    <row r="45" spans="1:4" ht="15">
      <c r="A45" s="6" t="s">
        <v>67</v>
      </c>
      <c r="B45" s="13">
        <v>0.15</v>
      </c>
      <c r="C45" s="8"/>
      <c r="D45" s="6" t="s">
        <v>68</v>
      </c>
    </row>
    <row r="46" spans="1:4" ht="15">
      <c r="A46" s="6" t="s">
        <v>60</v>
      </c>
      <c r="B46" s="14">
        <f>SUM(B43:B45)</f>
        <v>1</v>
      </c>
      <c r="C46" s="8"/>
      <c r="D46" s="6" t="s">
        <v>61</v>
      </c>
    </row>
    <row r="47" spans="1:4">
      <c r="A47" s="6"/>
      <c r="B47" s="8"/>
      <c r="C47" s="8"/>
      <c r="D47" s="6"/>
    </row>
    <row r="48" spans="1:4" ht="76" customHeight="1">
      <c r="A48" s="90" t="s">
        <v>69</v>
      </c>
      <c r="B48" s="91"/>
      <c r="C48" s="91"/>
      <c r="D48" s="90"/>
    </row>
    <row r="49" spans="1:4" ht="15">
      <c r="A49" s="6" t="s">
        <v>70</v>
      </c>
      <c r="B49" s="13">
        <v>0.8</v>
      </c>
      <c r="C49" s="8"/>
      <c r="D49" s="6" t="s">
        <v>71</v>
      </c>
    </row>
    <row r="50" spans="1:4" ht="15">
      <c r="A50" s="6" t="s">
        <v>72</v>
      </c>
      <c r="B50" s="13">
        <v>0.2</v>
      </c>
      <c r="C50" s="8"/>
      <c r="D50" s="6" t="s">
        <v>73</v>
      </c>
    </row>
    <row r="51" spans="1:4" ht="15">
      <c r="A51" s="6" t="s">
        <v>60</v>
      </c>
      <c r="B51" s="14">
        <f>SUM(B49:B50)</f>
        <v>1</v>
      </c>
      <c r="C51" s="8"/>
      <c r="D51" s="6" t="s">
        <v>61</v>
      </c>
    </row>
    <row r="52" spans="1:4" ht="30">
      <c r="A52" s="6" t="s">
        <v>74</v>
      </c>
      <c r="B52" s="15">
        <v>0</v>
      </c>
      <c r="C52" s="8"/>
      <c r="D52" s="6" t="s">
        <v>75</v>
      </c>
    </row>
    <row r="53" spans="1:4">
      <c r="A53" s="6"/>
      <c r="B53" s="8"/>
      <c r="C53" s="8"/>
      <c r="D53" s="6"/>
    </row>
    <row r="54" spans="1:4" ht="76" customHeight="1">
      <c r="A54" s="90" t="s">
        <v>76</v>
      </c>
      <c r="B54" s="91"/>
      <c r="C54" s="91"/>
      <c r="D54" s="90"/>
    </row>
    <row r="55" spans="1:4" ht="30">
      <c r="A55" s="6" t="s">
        <v>77</v>
      </c>
      <c r="B55" s="11">
        <v>0.9</v>
      </c>
      <c r="C55" s="8"/>
      <c r="D55" s="6" t="s">
        <v>377</v>
      </c>
    </row>
    <row r="56" spans="1:4" ht="15">
      <c r="A56" s="6" t="s">
        <v>78</v>
      </c>
      <c r="B56" s="11">
        <v>0.8</v>
      </c>
      <c r="C56" s="8"/>
      <c r="D56" s="6"/>
    </row>
    <row r="57" spans="1:4" ht="15">
      <c r="A57" s="6" t="s">
        <v>79</v>
      </c>
      <c r="B57" s="11">
        <v>0.7</v>
      </c>
      <c r="C57" s="8"/>
      <c r="D57" s="6"/>
    </row>
    <row r="58" spans="1:4" ht="15">
      <c r="A58" s="6" t="s">
        <v>80</v>
      </c>
      <c r="B58" s="11">
        <v>0.6</v>
      </c>
      <c r="C58" s="8"/>
      <c r="D58" s="6"/>
    </row>
    <row r="59" spans="1:4" ht="15">
      <c r="A59" s="6" t="s">
        <v>378</v>
      </c>
      <c r="B59" s="8">
        <v>4</v>
      </c>
      <c r="C59" s="8" t="s">
        <v>81</v>
      </c>
      <c r="D59" s="6" t="s">
        <v>82</v>
      </c>
    </row>
  </sheetData>
  <mergeCells count="11">
    <mergeCell ref="A1:D1"/>
    <mergeCell ref="A2:D2"/>
    <mergeCell ref="A4:D4"/>
    <mergeCell ref="A8:D8"/>
    <mergeCell ref="A12:D12"/>
    <mergeCell ref="A54:D54"/>
    <mergeCell ref="A18:D18"/>
    <mergeCell ref="A24:D24"/>
    <mergeCell ref="A32:D32"/>
    <mergeCell ref="A42:D42"/>
    <mergeCell ref="A48:D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pane ySplit="5" topLeftCell="A6" activePane="bottomLeft" state="frozen"/>
      <selection pane="bottomLeft" activeCell="E35" sqref="E35"/>
    </sheetView>
  </sheetViews>
  <sheetFormatPr baseColWidth="10" defaultColWidth="8.83203125" defaultRowHeight="14"/>
  <cols>
    <col min="1" max="2" width="28" customWidth="1"/>
    <col min="3" max="3" width="18" customWidth="1"/>
    <col min="4" max="4" width="16" customWidth="1"/>
    <col min="5" max="5" width="32" customWidth="1"/>
    <col min="6" max="6" width="24" customWidth="1"/>
    <col min="7" max="7" width="30" customWidth="1"/>
    <col min="8" max="8" width="18" customWidth="1"/>
  </cols>
  <sheetData>
    <row r="1" spans="1:8" ht="30" customHeight="1">
      <c r="A1" s="92" t="s">
        <v>83</v>
      </c>
      <c r="B1" s="92"/>
      <c r="C1" s="92"/>
      <c r="D1" s="92"/>
      <c r="E1" s="92"/>
      <c r="F1" s="92"/>
      <c r="G1" s="92"/>
      <c r="H1" s="92"/>
    </row>
    <row r="2" spans="1:8" ht="15">
      <c r="A2" s="93" t="s">
        <v>84</v>
      </c>
      <c r="B2" s="93"/>
      <c r="C2" s="93"/>
      <c r="D2" s="93"/>
      <c r="E2" s="93"/>
      <c r="F2" s="93"/>
      <c r="G2" s="3" t="s">
        <v>85</v>
      </c>
      <c r="H2" s="3" t="s">
        <v>376</v>
      </c>
    </row>
    <row r="3" spans="1:8" ht="15">
      <c r="A3" s="3"/>
      <c r="B3" s="3"/>
      <c r="C3" s="3"/>
      <c r="D3" s="3"/>
      <c r="E3" s="3"/>
      <c r="F3" s="3"/>
      <c r="G3" s="3" t="s">
        <v>86</v>
      </c>
      <c r="H3" s="4">
        <v>46303</v>
      </c>
    </row>
    <row r="4" spans="1:8" ht="24" customHeight="1">
      <c r="A4" s="94" t="s">
        <v>87</v>
      </c>
      <c r="B4" s="94"/>
      <c r="C4" s="94"/>
      <c r="D4" s="94"/>
      <c r="E4" s="94"/>
      <c r="F4" s="94"/>
      <c r="G4" s="94"/>
      <c r="H4" s="94"/>
    </row>
    <row r="5" spans="1:8" ht="15">
      <c r="A5" s="40" t="s">
        <v>88</v>
      </c>
      <c r="B5" s="5" t="s">
        <v>89</v>
      </c>
      <c r="C5" s="3"/>
      <c r="D5" s="3"/>
      <c r="E5" s="3"/>
      <c r="F5" s="3"/>
      <c r="G5" s="40" t="s">
        <v>90</v>
      </c>
      <c r="H5" s="41" t="str">
        <f>IFERROR(VLOOKUP(B5,Notes!$J$2:$K$7,2,FALSE),"")</f>
        <v>P8</v>
      </c>
    </row>
    <row r="6" spans="1:8">
      <c r="A6" s="3"/>
      <c r="B6" s="3"/>
      <c r="C6" s="3"/>
      <c r="D6" s="3"/>
      <c r="E6" s="3"/>
      <c r="F6" s="3"/>
      <c r="G6" s="3"/>
      <c r="H6" s="3"/>
    </row>
    <row r="7" spans="1:8" ht="24" customHeight="1">
      <c r="A7" s="94" t="s">
        <v>91</v>
      </c>
      <c r="B7" s="94"/>
      <c r="C7" s="94"/>
      <c r="D7" s="94"/>
      <c r="E7" s="94"/>
      <c r="F7" s="94"/>
      <c r="G7" s="94"/>
      <c r="H7" s="94"/>
    </row>
    <row r="8" spans="1:8" ht="16">
      <c r="A8" s="20" t="s">
        <v>92</v>
      </c>
      <c r="B8" s="21" t="s">
        <v>93</v>
      </c>
      <c r="C8" s="21" t="s">
        <v>94</v>
      </c>
      <c r="D8" s="21" t="s">
        <v>95</v>
      </c>
      <c r="E8" s="21" t="s">
        <v>379</v>
      </c>
      <c r="F8" s="21" t="s">
        <v>96</v>
      </c>
      <c r="G8" s="21" t="s">
        <v>127</v>
      </c>
      <c r="H8" s="22" t="s">
        <v>97</v>
      </c>
    </row>
    <row r="9" spans="1:8" ht="38" customHeight="1">
      <c r="A9" s="47" t="s">
        <v>98</v>
      </c>
      <c r="B9" s="6" t="str">
        <f>IFERROR(VLOOKUP($H$5,Calculations!$A$5:$AM$10,2,FALSE),"")</f>
        <v>FQPF7P20</v>
      </c>
      <c r="C9" s="8" t="s">
        <v>99</v>
      </c>
      <c r="D9" s="49">
        <v>100</v>
      </c>
      <c r="E9" s="8" t="str">
        <f>IFERROR(VLOOKUP($H$5,Calculations!$A$5:$AM$10,5,FALSE),"")</f>
        <v>TESTED</v>
      </c>
      <c r="F9" s="8" t="str">
        <f>IFERROR(VLOOKUP($H$5,Calculations!$A$5:$AM$10,6,FALSE),"")</f>
        <v>PASS</v>
      </c>
      <c r="G9" s="8" t="str">
        <f>IFERROR(VLOOKUP($H$5,Calculations!$A$5:$AM$10,39,FALSE),"")</f>
        <v>VALIDATED</v>
      </c>
      <c r="H9" s="34" t="str">
        <f>IFERROR(VLOOKUP($H$5,Calculations!$A$5:$AM$10,4,FALSE),"")</f>
        <v>CURRENT</v>
      </c>
    </row>
    <row r="10" spans="1:8" ht="38" customHeight="1">
      <c r="A10" s="48" t="s">
        <v>100</v>
      </c>
      <c r="B10" s="30" t="str">
        <f>IFERROR(VLOOKUP($H$5,Calculations!$A$5:$AM$10,3,FALSE),"")</f>
        <v>FQPF3N80C</v>
      </c>
      <c r="C10" s="33" t="s">
        <v>101</v>
      </c>
      <c r="D10" s="50">
        <v>100</v>
      </c>
      <c r="E10" s="33" t="str">
        <f>IFERROR(VLOOKUP($H$5,Calculations!$A$5:$AM$10,5,FALSE),"")</f>
        <v>TESTED</v>
      </c>
      <c r="F10" s="33" t="str">
        <f>IFERROR(VLOOKUP($H$5,Calculations!$A$5:$AM$10,6,FALSE),"")</f>
        <v>PASS</v>
      </c>
      <c r="G10" s="33" t="str">
        <f>IFERROR(VLOOKUP($H$5,Calculations!$A$5:$AM$10,39,FALSE),"")</f>
        <v>VALIDATED</v>
      </c>
      <c r="H10" s="35" t="str">
        <f>IFERROR(VLOOKUP($H$5,Calculations!$A$5:$AM$10,4,FALSE),"")</f>
        <v>CURRENT</v>
      </c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 ht="24" customHeight="1">
      <c r="A12" s="94" t="s">
        <v>102</v>
      </c>
      <c r="B12" s="94"/>
      <c r="C12" s="94"/>
      <c r="D12" s="94"/>
      <c r="E12" s="94"/>
      <c r="F12" s="94"/>
      <c r="G12" s="94"/>
      <c r="H12" s="94"/>
    </row>
    <row r="13" spans="1:8" ht="16">
      <c r="A13" s="42" t="s">
        <v>103</v>
      </c>
      <c r="B13" s="57">
        <f>IFERROR(VLOOKUP($H$5,Calculations!$A$5:$AM$10,36,FALSE),"")</f>
        <v>0.96768956289027686</v>
      </c>
      <c r="C13" s="52" t="s">
        <v>104</v>
      </c>
      <c r="D13" s="51" t="str">
        <f>IFERROR(VLOOKUP($H$5,Calculations!$A$5:$AM$10,37,FALSE),"")</f>
        <v>*****</v>
      </c>
      <c r="E13" s="52" t="s">
        <v>105</v>
      </c>
      <c r="F13" s="51" t="str">
        <f>IFERROR(VLOOKUP($H$5,Calculations!$A$5:$AM$10,38,FALSE),"")</f>
        <v>*****</v>
      </c>
      <c r="G13" s="52" t="s">
        <v>97</v>
      </c>
      <c r="H13" s="53" t="str">
        <f>IFERROR(VLOOKUP($H$5,Calculations!$A$5:$AM$10,4,FALSE),"")</f>
        <v>CURRENT</v>
      </c>
    </row>
    <row r="14" spans="1:8" ht="16">
      <c r="A14" s="43" t="s">
        <v>106</v>
      </c>
      <c r="B14" s="58">
        <f>IFERROR(VLOOKUP($H$5,Calculations!$A$5:$AM$10,28,FALSE),"")</f>
        <v>1.0000000000000002</v>
      </c>
      <c r="C14" s="59" t="s">
        <v>107</v>
      </c>
      <c r="D14" s="58">
        <f>IFERROR(VLOOKUP($H$5,Calculations!$A$5:$AM$10,29,FALSE),"")</f>
        <v>1.0000000000000002</v>
      </c>
      <c r="E14" s="10" t="s">
        <v>108</v>
      </c>
      <c r="F14" s="58">
        <f>IFERROR(VLOOKUP($H$5,Calculations!$A$5:$AM$10,35,FALSE),"")</f>
        <v>0.83844781445138261</v>
      </c>
      <c r="G14" s="10" t="s">
        <v>109</v>
      </c>
      <c r="H14" s="60">
        <f>IFERROR(VLOOKUP($H$5,Calculations!$A$5:$AM$10,34,FALSE),"")</f>
        <v>8.6556169429097454E-2</v>
      </c>
    </row>
    <row r="15" spans="1:8" ht="16">
      <c r="A15" s="44" t="s">
        <v>110</v>
      </c>
      <c r="B15" s="54">
        <v>100</v>
      </c>
      <c r="C15" s="55" t="s">
        <v>111</v>
      </c>
      <c r="D15" s="54">
        <v>100</v>
      </c>
      <c r="E15" s="55" t="s">
        <v>112</v>
      </c>
      <c r="F15" s="54" t="str">
        <f>IF(AND(VLOOKUP($H$5,Calculations!$A$5:$AM$10,15,FALSE)="OK",VLOOKUP($H$5,Calculations!$A$5:$AM$10,16,FALSE)="OK",VLOOKUP($H$5,Calculations!$A$5:$AM$10,17,FALSE)="OK"),"PASS","FAIL")</f>
        <v>PASS</v>
      </c>
      <c r="G15" s="55" t="s">
        <v>380</v>
      </c>
      <c r="H15" s="56" t="str">
        <f>VLOOKUP($H$5,Calculations!$A$5:$AM$10,5,FALSE)&amp;" / "&amp;VLOOKUP($H$5,Calculations!$A$5:$AM$10,6,FALSE)</f>
        <v>TESTED / PASS</v>
      </c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 ht="24" customHeight="1">
      <c r="A17" s="94" t="s">
        <v>113</v>
      </c>
      <c r="B17" s="94"/>
      <c r="C17" s="94"/>
      <c r="D17" s="94"/>
      <c r="E17" s="94"/>
      <c r="F17" s="94"/>
      <c r="G17" s="94"/>
      <c r="H17" s="94"/>
    </row>
    <row r="18" spans="1:8" ht="16">
      <c r="A18" s="45" t="s">
        <v>35</v>
      </c>
      <c r="B18" s="46" t="s">
        <v>114</v>
      </c>
      <c r="C18" s="46" t="s">
        <v>115</v>
      </c>
      <c r="D18" s="95" t="s">
        <v>116</v>
      </c>
      <c r="E18" s="95"/>
      <c r="F18" s="95"/>
      <c r="G18" s="95"/>
      <c r="H18" s="96"/>
    </row>
    <row r="19" spans="1:8" ht="15">
      <c r="A19" s="23" t="s">
        <v>39</v>
      </c>
      <c r="B19" s="8">
        <f>VLOOKUP($H$5,Calculations!$A$5:$AM$10,18,FALSE)</f>
        <v>590</v>
      </c>
      <c r="C19" s="8">
        <f>VLOOKUP($H$5,Calculations!$A$5:$AM$10,19,FALSE)</f>
        <v>543</v>
      </c>
      <c r="D19" s="97" t="s">
        <v>117</v>
      </c>
      <c r="E19" s="97"/>
      <c r="F19" s="97"/>
      <c r="G19" s="97"/>
      <c r="H19" s="98"/>
    </row>
    <row r="20" spans="1:8" ht="15">
      <c r="A20" s="23" t="s">
        <v>118</v>
      </c>
      <c r="B20" s="8" t="str">
        <f>TEXT(VLOOKUP($H$5,Calculations!$A$5:$AM$10,20,FALSE),"0.0")&amp;" / "&amp;TEXT(VLOOKUP($H$5,Calculations!$A$5:$AM$10,22,FALSE),"0.0")</f>
        <v>1.9 / 1.0</v>
      </c>
      <c r="C20" s="8" t="str">
        <f>TEXT(VLOOKUP($H$5,Calculations!$A$5:$AM$10,21,FALSE),"0.0")&amp;" / "&amp;TEXT(VLOOKUP($H$5,Calculations!$A$5:$AM$10,23,FALSE),"0.0")</f>
        <v>1.3 / 0.6</v>
      </c>
      <c r="D20" s="97" t="s">
        <v>119</v>
      </c>
      <c r="E20" s="97"/>
      <c r="F20" s="97"/>
      <c r="G20" s="97"/>
      <c r="H20" s="98"/>
    </row>
    <row r="21" spans="1:8" ht="15">
      <c r="A21" s="23" t="s">
        <v>120</v>
      </c>
      <c r="B21" s="8" t="str">
        <f>TEXT(VLOOKUP($H$5,Calculations!$A$5:$AM$10,24,FALSE),"0.0")&amp;" / "&amp;TEXT(VLOOKUP($H$5,Calculations!$A$5:$AM$10,26,FALSE),"0.0")</f>
        <v>2.5 / 14.0</v>
      </c>
      <c r="C21" s="8" t="str">
        <f>TEXT(VLOOKUP($H$5,Calculations!$A$5:$AM$10,25,FALSE),"0.0")&amp;" / "&amp;TEXT(VLOOKUP($H$5,Calculations!$A$5:$AM$10,27,FALSE),"0.0")</f>
        <v>0.6 / 5.4</v>
      </c>
      <c r="D21" s="97" t="s">
        <v>121</v>
      </c>
      <c r="E21" s="97"/>
      <c r="F21" s="97"/>
      <c r="G21" s="97"/>
      <c r="H21" s="98"/>
    </row>
    <row r="22" spans="1:8" ht="15">
      <c r="A22" s="25" t="s">
        <v>122</v>
      </c>
      <c r="B22" s="61">
        <f>VLOOKUP($H$5,Calculations!$A$5:$AM$10,11,FALSE)</f>
        <v>72.283832000000004</v>
      </c>
      <c r="C22" s="61">
        <f>VLOOKUP($H$5,Calculations!$A$5:$AM$10,12,FALSE)</f>
        <v>71.118080000000006</v>
      </c>
      <c r="D22" s="99" t="s">
        <v>123</v>
      </c>
      <c r="E22" s="99"/>
      <c r="F22" s="99"/>
      <c r="G22" s="99"/>
      <c r="H22" s="100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 ht="24" customHeight="1">
      <c r="A24" s="94" t="s">
        <v>124</v>
      </c>
      <c r="B24" s="94"/>
      <c r="C24" s="94"/>
      <c r="D24" s="94"/>
      <c r="E24" s="94"/>
      <c r="F24" s="94"/>
      <c r="G24" s="94"/>
      <c r="H24" s="94"/>
    </row>
    <row r="25" spans="1:8" ht="16">
      <c r="A25" s="86" t="s">
        <v>125</v>
      </c>
      <c r="B25" s="86" t="s">
        <v>90</v>
      </c>
      <c r="C25" s="86" t="s">
        <v>379</v>
      </c>
      <c r="D25" s="86" t="s">
        <v>96</v>
      </c>
      <c r="E25" s="86" t="s">
        <v>126</v>
      </c>
      <c r="F25" s="86" t="s">
        <v>127</v>
      </c>
    </row>
    <row r="26" spans="1:8" ht="34" customHeight="1">
      <c r="A26" s="87" t="s">
        <v>89</v>
      </c>
      <c r="B26" s="87" t="s">
        <v>128</v>
      </c>
      <c r="C26" s="88" t="s">
        <v>381</v>
      </c>
      <c r="D26" s="88" t="s">
        <v>275</v>
      </c>
      <c r="E26" s="88" t="s">
        <v>382</v>
      </c>
      <c r="F26" s="87" t="str">
        <f t="shared" ref="F26:F31" si="0">IF(C26="NOT TESTED","WAITING VALIDATION",IF(D26="PASS","VALIDATED",IF(D26="FAIL","NOT VALIDATED","WAITING VALIDATION")))</f>
        <v>VALIDATED</v>
      </c>
    </row>
    <row r="27" spans="1:8" ht="34" customHeight="1">
      <c r="A27" s="87" t="s">
        <v>129</v>
      </c>
      <c r="B27" s="87" t="s">
        <v>130</v>
      </c>
      <c r="C27" s="88" t="s">
        <v>278</v>
      </c>
      <c r="D27" s="88" t="s">
        <v>278</v>
      </c>
      <c r="E27" s="88" t="s">
        <v>383</v>
      </c>
      <c r="F27" s="87" t="str">
        <f t="shared" si="0"/>
        <v>WAITING VALIDATION</v>
      </c>
    </row>
    <row r="28" spans="1:8" ht="34" customHeight="1">
      <c r="A28" s="87" t="s">
        <v>131</v>
      </c>
      <c r="B28" s="87" t="s">
        <v>132</v>
      </c>
      <c r="C28" s="88" t="s">
        <v>278</v>
      </c>
      <c r="D28" s="88" t="s">
        <v>278</v>
      </c>
      <c r="E28" s="88" t="s">
        <v>383</v>
      </c>
      <c r="F28" s="87" t="str">
        <f t="shared" si="0"/>
        <v>WAITING VALIDATION</v>
      </c>
    </row>
    <row r="29" spans="1:8" ht="34" customHeight="1">
      <c r="A29" s="87" t="s">
        <v>133</v>
      </c>
      <c r="B29" s="87" t="s">
        <v>134</v>
      </c>
      <c r="C29" s="88" t="s">
        <v>381</v>
      </c>
      <c r="D29" s="88" t="s">
        <v>278</v>
      </c>
      <c r="E29" s="88" t="s">
        <v>383</v>
      </c>
      <c r="F29" s="87" t="str">
        <f t="shared" si="0"/>
        <v>WAITING VALIDATION</v>
      </c>
    </row>
    <row r="30" spans="1:8" ht="34" customHeight="1">
      <c r="A30" s="87" t="s">
        <v>135</v>
      </c>
      <c r="B30" s="87" t="s">
        <v>136</v>
      </c>
      <c r="C30" s="88" t="s">
        <v>278</v>
      </c>
      <c r="D30" s="88" t="s">
        <v>278</v>
      </c>
      <c r="E30" s="88" t="s">
        <v>383</v>
      </c>
      <c r="F30" s="87" t="str">
        <f t="shared" si="0"/>
        <v>WAITING VALIDATION</v>
      </c>
    </row>
    <row r="31" spans="1:8" ht="34" customHeight="1">
      <c r="A31" s="87" t="s">
        <v>137</v>
      </c>
      <c r="B31" s="87" t="s">
        <v>138</v>
      </c>
      <c r="C31" s="88" t="s">
        <v>381</v>
      </c>
      <c r="D31" s="88" t="s">
        <v>401</v>
      </c>
      <c r="E31" s="88" t="s">
        <v>384</v>
      </c>
      <c r="F31" s="87" t="str">
        <f t="shared" si="0"/>
        <v>NOT VALIDATED</v>
      </c>
    </row>
    <row r="32" spans="1:8" ht="38" customHeight="1">
      <c r="A32" s="101" t="s">
        <v>385</v>
      </c>
      <c r="B32" s="101"/>
      <c r="C32" s="101"/>
      <c r="D32" s="101"/>
      <c r="E32" s="101"/>
      <c r="F32" s="101"/>
      <c r="G32" s="101"/>
      <c r="H32" s="101"/>
    </row>
  </sheetData>
  <mergeCells count="13">
    <mergeCell ref="A32:H32"/>
    <mergeCell ref="A1:H1"/>
    <mergeCell ref="A2:F2"/>
    <mergeCell ref="A4:H4"/>
    <mergeCell ref="A7:H7"/>
    <mergeCell ref="A12:H12"/>
    <mergeCell ref="A17:H17"/>
    <mergeCell ref="A24:H24"/>
    <mergeCell ref="D18:H18"/>
    <mergeCell ref="D19:H19"/>
    <mergeCell ref="D20:H20"/>
    <mergeCell ref="D21:H21"/>
    <mergeCell ref="D22:H22"/>
  </mergeCells>
  <dataValidations count="2">
    <dataValidation type="list" sqref="C26:C31" xr:uid="{00000000-0002-0000-0100-000000000000}">
      <formula1>"NOT TESTED,TESTED"</formula1>
    </dataValidation>
    <dataValidation type="list" sqref="D26:D31" xr:uid="{00000000-0002-0000-0100-000001000000}">
      <formula1>"NOT TESTED,PASS,FAIL"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8" customWidth="1"/>
    <col min="2" max="3" width="19" customWidth="1"/>
    <col min="4" max="5" width="11" customWidth="1"/>
    <col min="6" max="6" width="13" customWidth="1"/>
    <col min="7" max="10" width="9" customWidth="1"/>
    <col min="11" max="12" width="12" customWidth="1"/>
    <col min="13" max="17" width="10" customWidth="1"/>
    <col min="18" max="27" width="9" customWidth="1"/>
    <col min="28" max="29" width="12" customWidth="1"/>
    <col min="30" max="31" width="10" customWidth="1"/>
    <col min="32" max="34" width="13" customWidth="1"/>
    <col min="35" max="35" width="12" customWidth="1"/>
    <col min="36" max="36" width="14" customWidth="1"/>
    <col min="37" max="37" width="10" customWidth="1"/>
    <col min="38" max="38" width="11" customWidth="1"/>
    <col min="39" max="39" width="32" customWidth="1"/>
  </cols>
  <sheetData>
    <row r="1" spans="1:39" ht="30" customHeight="1">
      <c r="A1" s="102" t="s">
        <v>139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</row>
    <row r="2" spans="1:39" ht="36" customHeight="1">
      <c r="A2" s="103" t="s">
        <v>140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</row>
    <row r="4" spans="1:39" ht="52" customHeight="1">
      <c r="A4" s="17" t="s">
        <v>141</v>
      </c>
      <c r="B4" s="18" t="s">
        <v>142</v>
      </c>
      <c r="C4" s="18" t="s">
        <v>143</v>
      </c>
      <c r="D4" s="18" t="s">
        <v>97</v>
      </c>
      <c r="E4" s="18" t="s">
        <v>379</v>
      </c>
      <c r="F4" s="18" t="s">
        <v>96</v>
      </c>
      <c r="G4" s="18" t="s">
        <v>144</v>
      </c>
      <c r="H4" s="18" t="s">
        <v>145</v>
      </c>
      <c r="I4" s="18" t="s">
        <v>146</v>
      </c>
      <c r="J4" s="18" t="s">
        <v>147</v>
      </c>
      <c r="K4" s="18" t="s">
        <v>148</v>
      </c>
      <c r="L4" s="18" t="s">
        <v>149</v>
      </c>
      <c r="M4" s="18" t="s">
        <v>150</v>
      </c>
      <c r="N4" s="18" t="s">
        <v>151</v>
      </c>
      <c r="O4" s="18" t="s">
        <v>152</v>
      </c>
      <c r="P4" s="18" t="s">
        <v>153</v>
      </c>
      <c r="Q4" s="18" t="s">
        <v>154</v>
      </c>
      <c r="R4" s="18" t="s">
        <v>155</v>
      </c>
      <c r="S4" s="18" t="s">
        <v>156</v>
      </c>
      <c r="T4" s="18" t="s">
        <v>157</v>
      </c>
      <c r="U4" s="18" t="s">
        <v>158</v>
      </c>
      <c r="V4" s="18" t="s">
        <v>159</v>
      </c>
      <c r="W4" s="18" t="s">
        <v>160</v>
      </c>
      <c r="X4" s="18" t="s">
        <v>161</v>
      </c>
      <c r="Y4" s="18" t="s">
        <v>162</v>
      </c>
      <c r="Z4" s="18" t="s">
        <v>163</v>
      </c>
      <c r="AA4" s="18" t="s">
        <v>164</v>
      </c>
      <c r="AB4" s="18" t="s">
        <v>106</v>
      </c>
      <c r="AC4" s="18" t="s">
        <v>107</v>
      </c>
      <c r="AD4" s="18" t="s">
        <v>165</v>
      </c>
      <c r="AE4" s="18" t="s">
        <v>166</v>
      </c>
      <c r="AF4" s="18" t="s">
        <v>167</v>
      </c>
      <c r="AG4" s="18" t="s">
        <v>168</v>
      </c>
      <c r="AH4" s="18" t="s">
        <v>169</v>
      </c>
      <c r="AI4" s="18" t="s">
        <v>108</v>
      </c>
      <c r="AJ4" s="18" t="s">
        <v>103</v>
      </c>
      <c r="AK4" s="18" t="s">
        <v>104</v>
      </c>
      <c r="AL4" s="18" t="s">
        <v>105</v>
      </c>
      <c r="AM4" s="19" t="s">
        <v>127</v>
      </c>
    </row>
    <row r="5" spans="1:39">
      <c r="A5" s="62" t="s">
        <v>128</v>
      </c>
      <c r="B5" s="63" t="s">
        <v>170</v>
      </c>
      <c r="C5" s="63" t="s">
        <v>171</v>
      </c>
      <c r="D5" s="64" t="str">
        <f>IF(OR(VLOOKUP(B5,MOSFET!$A$4:$Z$19,20,FALSE)="ARCHIVE",VLOOKUP(C5,MOSFET!$A$4:$Z$19,20,FALSE)="ARCHIVE"),"ARCHIVE",IF(OR(VLOOKUP(B5,MOSFET!$A$4:$Z$19,20,FALSE)="DATABASE",VLOOKUP(C5,MOSFET!$A$4:$Z$19,20,FALSE)="DATABASE"),"DATABASE","CURRENT"))</f>
        <v>CURRENT</v>
      </c>
      <c r="E5" s="64" t="str">
        <f>IFERROR(VLOOKUP(A5,Selection!$B$26:$F$31,2,FALSE),"NOT TESTED")</f>
        <v>TESTED</v>
      </c>
      <c r="F5" s="64" t="str">
        <f>IFERROR(VLOOKUP(A5,Selection!$B$26:$F$31,3,FALSE),"NOT TESTED")</f>
        <v>PASS</v>
      </c>
      <c r="G5" s="65">
        <f>IFERROR(VLOOKUP(B5,MOSFET!$A$4:$Z$19,5,FALSE),"")</f>
        <v>200</v>
      </c>
      <c r="H5" s="65">
        <f>IFERROR(VLOOKUP(C5,MOSFET!$A$4:$Z$19,5,FALSE),"")</f>
        <v>800</v>
      </c>
      <c r="I5" s="65">
        <f>IFERROR(VLOOKUP(B5,MOSFET!$A$4:$Z$19,6,FALSE),"")</f>
        <v>5.2</v>
      </c>
      <c r="J5" s="65">
        <f>IFERROR(VLOOKUP(C5,MOSFET!$A$4:$Z$19,6,FALSE),"")</f>
        <v>3</v>
      </c>
      <c r="K5" s="65">
        <f>IFERROR(VLOOKUP(B5,MOSFET!$A$4:$Z$19,24,FALSE),"")</f>
        <v>72.283832000000004</v>
      </c>
      <c r="L5" s="65">
        <f>IFERROR(VLOOKUP(C5,MOSFET!$A$4:$Z$19,24,FALSE),"")</f>
        <v>71.118080000000006</v>
      </c>
      <c r="M5" s="64" t="str">
        <f>IFERROR(VLOOKUP(B5,MOSFET!$A$4:$Z$19,16,FALSE),"")</f>
        <v>YES</v>
      </c>
      <c r="N5" s="64" t="str">
        <f>IFERROR(VLOOKUP(C5,MOSFET!$A$4:$Z$19,16,FALSE),"")</f>
        <v>YES</v>
      </c>
      <c r="O5" s="64" t="str">
        <f>IF(MIN(G5,H5)&gt;=Config!$B$19,"OK","FAIL")</f>
        <v>OK</v>
      </c>
      <c r="P5" s="64" t="str">
        <f>IF(MIN(I5,J5)&gt;=Config!$B$14*Config!$B$20,"OK","FAIL")</f>
        <v>OK</v>
      </c>
      <c r="Q5" s="64" t="str">
        <f>IF(MIN(K5,L5)&gt;=Config!$B$21,"OK","FAIL")</f>
        <v>OK</v>
      </c>
      <c r="R5" s="65">
        <f>IFERROR(VLOOKUP(B5,MOSFET!$A$4:$Z$19,10,FALSE),"")</f>
        <v>590</v>
      </c>
      <c r="S5" s="65">
        <f>IFERROR(VLOOKUP(C5,MOSFET!$A$4:$Z$19,10,FALSE),"")</f>
        <v>543</v>
      </c>
      <c r="T5" s="65">
        <f>IFERROR(VLOOKUP(B5,MOSFET!$A$4:$Z$19,13,FALSE),"")</f>
        <v>19</v>
      </c>
      <c r="U5" s="65">
        <f>IFERROR(VLOOKUP(C5,MOSFET!$A$4:$Z$19,13,FALSE),"")</f>
        <v>13</v>
      </c>
      <c r="V5" s="65">
        <f>IFERROR(VLOOKUP(B5,MOSFET!$A$4:$Z$19,14,FALSE),"")</f>
        <v>9.5</v>
      </c>
      <c r="W5" s="65">
        <f>IFERROR(VLOOKUP(C5,MOSFET!$A$4:$Z$19,14,FALSE),"")</f>
        <v>5.8</v>
      </c>
      <c r="X5" s="65">
        <f>IFERROR(VLOOKUP(B5,MOSFET!$A$4:$Z$19,12,FALSE),"")</f>
        <v>25</v>
      </c>
      <c r="Y5" s="65">
        <f>IFERROR(VLOOKUP(C5,MOSFET!$A$4:$Z$19,12,FALSE),"")</f>
        <v>5.5</v>
      </c>
      <c r="Z5" s="65">
        <f>IFERROR(VLOOKUP(B5,MOSFET!$A$4:$Z$19,11,FALSE),"")</f>
        <v>140</v>
      </c>
      <c r="AA5" s="65">
        <f>IFERROR(VLOOKUP(C5,MOSFET!$A$4:$Z$19,11,FALSE),"")</f>
        <v>54</v>
      </c>
      <c r="AB5" s="66">
        <f>IFERROR(Config!$B$33*MIN(1,Config!$B$26/R5)+Config!$B$34*MIN(1,Config!$B$27/T5)+Config!$B$35*MIN(1,Config!$B$28/V5)+Config!$B$36*MIN(1,Config!$B$29/X5)+Config!$B$37*MIN(1,Config!$B$30/Z5)+Config!$B$38*MIN(1,K5/Config!$B$22)+Config!$B$39*IF(M5="YES",1,0.9),"")</f>
        <v>1.0000000000000002</v>
      </c>
      <c r="AC5" s="66">
        <f>IFERROR(Config!$B$33*MIN(1,Config!$C$26/S5)+Config!$B$34*MIN(1,Config!$C$27/U5)+Config!$B$35*MIN(1,Config!$C$28/W5)+Config!$B$36*MIN(1,Config!$C$29/Y5)+Config!$B$37*MIN(1,Config!$C$30/AA5)+Config!$B$38*MIN(1,L5/Config!$B$22)+Config!$B$39*IF(N5="YES",1,0.9),"")</f>
        <v>1.0000000000000002</v>
      </c>
      <c r="AD5" s="76">
        <v>100</v>
      </c>
      <c r="AE5" s="76">
        <v>100</v>
      </c>
      <c r="AF5" s="66">
        <f t="shared" ref="AF5:AG10" si="0">IFERROR(1/(2*PI()*AD5*R5*0.000000000001)/1000000,"")</f>
        <v>2.6975414083372096</v>
      </c>
      <c r="AG5" s="66">
        <f t="shared" si="0"/>
        <v>2.9310302595192512</v>
      </c>
      <c r="AH5" s="67">
        <f t="shared" ref="AH5:AH10" si="1">IFERROR(ABS(AF5-AG5)/MIN(AF5,AG5),"")</f>
        <v>8.6556169429097454E-2</v>
      </c>
      <c r="AI5" s="66">
        <f>IFERROR(Config!$B$43*MIN(R5,S5)/MAX(R5,S5)+Config!$B$44*MIN(T5,U5)/MAX(T5,U5)+Config!$B$45*MIN(V5,W5)/MAX(V5,W5),"")</f>
        <v>0.83844781445138261</v>
      </c>
      <c r="AJ5" s="66">
        <f>IF(OR(O5="FAIL",P5="FAIL",Q5="FAIL"),0,Config!$B$49*MIN(AB5,AC5)+Config!$B$50*AI5)</f>
        <v>0.96768956289027686</v>
      </c>
      <c r="AK5" s="64" t="str">
        <f>IF(AJ5&gt;=Config!$B$55,"*****",IF(AJ5&gt;=Config!$B$56,"****",IF(AJ5&gt;=Config!$B$57,"***",IF(AJ5&gt;=Config!$B$58,"**","*"))))</f>
        <v>*****</v>
      </c>
      <c r="AL5" s="64" t="str">
        <f>IF(OR(O5="FAIL",P5="FAIL",Q5="FAIL"),"*",IF(AND(E5="TESTED",F5="PASS",D5&lt;&gt;"ARCHIVE"),AK5,IF(LEN(AK5)&gt;Config!$B$59,REPT("*",Config!$B$59),AK5)))</f>
        <v>*****</v>
      </c>
      <c r="AM5" s="68" t="str">
        <f t="shared" ref="AM5:AM10" si="2">IF(OR(O5="FAIL",P5="FAIL",Q5="FAIL"),"NOT VALIDATED",IF(E5="NOT TESTED","WAITING VALIDATION",IF(F5="PASS","VALIDATED",IF(F5="FAIL","NOT VALIDATED","WAITING VALIDATION"))))</f>
        <v>VALIDATED</v>
      </c>
    </row>
    <row r="6" spans="1:39">
      <c r="A6" s="62" t="s">
        <v>130</v>
      </c>
      <c r="B6" s="63" t="s">
        <v>170</v>
      </c>
      <c r="C6" s="63" t="s">
        <v>172</v>
      </c>
      <c r="D6" s="64" t="str">
        <f>IF(OR(VLOOKUP(B6,MOSFET!$A$4:$Z$19,20,FALSE)="ARCHIVE",VLOOKUP(C6,MOSFET!$A$4:$Z$19,20,FALSE)="ARCHIVE"),"ARCHIVE",IF(OR(VLOOKUP(B6,MOSFET!$A$4:$Z$19,20,FALSE)="DATABASE",VLOOKUP(C6,MOSFET!$A$4:$Z$19,20,FALSE)="DATABASE"),"DATABASE","CURRENT"))</f>
        <v>CURRENT</v>
      </c>
      <c r="E6" s="64" t="str">
        <f>IFERROR(VLOOKUP(A6,Selection!$B$26:$F$31,2,FALSE),"NOT TESTED")</f>
        <v>NOT TESTED</v>
      </c>
      <c r="F6" s="64" t="str">
        <f>IFERROR(VLOOKUP(A6,Selection!$B$26:$F$31,3,FALSE),"NOT TESTED")</f>
        <v>NOT TESTED</v>
      </c>
      <c r="G6" s="65">
        <f>IFERROR(VLOOKUP(B6,MOSFET!$A$4:$Z$19,5,FALSE),"")</f>
        <v>200</v>
      </c>
      <c r="H6" s="65">
        <f>IFERROR(VLOOKUP(C6,MOSFET!$A$4:$Z$19,5,FALSE),"")</f>
        <v>800</v>
      </c>
      <c r="I6" s="65">
        <f>IFERROR(VLOOKUP(B6,MOSFET!$A$4:$Z$19,6,FALSE),"")</f>
        <v>5.2</v>
      </c>
      <c r="J6" s="65">
        <f>IFERROR(VLOOKUP(C6,MOSFET!$A$4:$Z$19,6,FALSE),"")</f>
        <v>3</v>
      </c>
      <c r="K6" s="65">
        <f>IFERROR(VLOOKUP(B6,MOSFET!$A$4:$Z$19,24,FALSE),"")</f>
        <v>72.283832000000004</v>
      </c>
      <c r="L6" s="65">
        <f>IFERROR(VLOOKUP(C6,MOSFET!$A$4:$Z$19,24,FALSE),"")</f>
        <v>76.752548000000004</v>
      </c>
      <c r="M6" s="64" t="str">
        <f>IFERROR(VLOOKUP(B6,MOSFET!$A$4:$Z$19,16,FALSE),"")</f>
        <v>YES</v>
      </c>
      <c r="N6" s="64" t="str">
        <f>IFERROR(VLOOKUP(C6,MOSFET!$A$4:$Z$19,16,FALSE),"")</f>
        <v>NO</v>
      </c>
      <c r="O6" s="64" t="str">
        <f>IF(MIN(G6,H6)&gt;=Config!$B$19,"OK","FAIL")</f>
        <v>OK</v>
      </c>
      <c r="P6" s="64" t="str">
        <f>IF(MIN(I6,J6)&gt;=Config!$B$14*Config!$B$20,"OK","FAIL")</f>
        <v>OK</v>
      </c>
      <c r="Q6" s="64" t="str">
        <f>IF(MIN(K6,L6)&gt;=Config!$B$21,"OK","FAIL")</f>
        <v>OK</v>
      </c>
      <c r="R6" s="65">
        <f>IFERROR(VLOOKUP(B6,MOSFET!$A$4:$Z$19,10,FALSE),"")</f>
        <v>590</v>
      </c>
      <c r="S6" s="65">
        <f>IFERROR(VLOOKUP(C6,MOSFET!$A$4:$Z$19,10,FALSE),"")</f>
        <v>543</v>
      </c>
      <c r="T6" s="65">
        <f>IFERROR(VLOOKUP(B6,MOSFET!$A$4:$Z$19,13,FALSE),"")</f>
        <v>19</v>
      </c>
      <c r="U6" s="65">
        <f>IFERROR(VLOOKUP(C6,MOSFET!$A$4:$Z$19,13,FALSE),"")</f>
        <v>13</v>
      </c>
      <c r="V6" s="65">
        <f>IFERROR(VLOOKUP(B6,MOSFET!$A$4:$Z$19,14,FALSE),"")</f>
        <v>9.5</v>
      </c>
      <c r="W6" s="65">
        <f>IFERROR(VLOOKUP(C6,MOSFET!$A$4:$Z$19,14,FALSE),"")</f>
        <v>5.8</v>
      </c>
      <c r="X6" s="65">
        <f>IFERROR(VLOOKUP(B6,MOSFET!$A$4:$Z$19,12,FALSE),"")</f>
        <v>25</v>
      </c>
      <c r="Y6" s="65">
        <f>IFERROR(VLOOKUP(C6,MOSFET!$A$4:$Z$19,12,FALSE),"")</f>
        <v>5.5</v>
      </c>
      <c r="Z6" s="65">
        <f>IFERROR(VLOOKUP(B6,MOSFET!$A$4:$Z$19,11,FALSE),"")</f>
        <v>140</v>
      </c>
      <c r="AA6" s="65">
        <f>IFERROR(VLOOKUP(C6,MOSFET!$A$4:$Z$19,11,FALSE),"")</f>
        <v>54</v>
      </c>
      <c r="AB6" s="66">
        <f>IFERROR(Config!$B$33*MIN(1,Config!$B$26/R6)+Config!$B$34*MIN(1,Config!$B$27/T6)+Config!$B$35*MIN(1,Config!$B$28/V6)+Config!$B$36*MIN(1,Config!$B$29/X6)+Config!$B$37*MIN(1,Config!$B$30/Z6)+Config!$B$38*MIN(1,K6/Config!$B$22)+Config!$B$39*IF(M6="YES",1,0.9),"")</f>
        <v>1.0000000000000002</v>
      </c>
      <c r="AC6" s="66">
        <f>IFERROR(Config!$B$33*MIN(1,Config!$C$26/S6)+Config!$B$34*MIN(1,Config!$C$27/U6)+Config!$B$35*MIN(1,Config!$C$28/W6)+Config!$B$36*MIN(1,Config!$C$29/Y6)+Config!$B$37*MIN(1,Config!$C$30/AA6)+Config!$B$38*MIN(1,L6/Config!$B$22)+Config!$B$39*IF(N6="YES",1,0.9),"")</f>
        <v>0.9900000000000001</v>
      </c>
      <c r="AD6" s="76">
        <v>100</v>
      </c>
      <c r="AE6" s="76">
        <v>100</v>
      </c>
      <c r="AF6" s="66">
        <f t="shared" si="0"/>
        <v>2.6975414083372096</v>
      </c>
      <c r="AG6" s="66">
        <f t="shared" si="0"/>
        <v>2.9310302595192512</v>
      </c>
      <c r="AH6" s="67">
        <f t="shared" si="1"/>
        <v>8.6556169429097454E-2</v>
      </c>
      <c r="AI6" s="66">
        <f>IFERROR(Config!$B$43*MIN(R6,S6)/MAX(R6,S6)+Config!$B$44*MIN(T6,U6)/MAX(T6,U6)+Config!$B$45*MIN(V6,W6)/MAX(V6,W6),"")</f>
        <v>0.83844781445138261</v>
      </c>
      <c r="AJ6" s="66">
        <f>IF(OR(O6="FAIL",P6="FAIL",Q6="FAIL"),0,Config!$B$49*MIN(AB6,AC6)+Config!$B$50*AI6)</f>
        <v>0.95968956289027663</v>
      </c>
      <c r="AK6" s="64" t="str">
        <f>IF(AJ6&gt;=Config!$B$55,"*****",IF(AJ6&gt;=Config!$B$56,"****",IF(AJ6&gt;=Config!$B$57,"***",IF(AJ6&gt;=Config!$B$58,"**","*"))))</f>
        <v>*****</v>
      </c>
      <c r="AL6" s="64" t="str">
        <f>IF(OR(O6="FAIL",P6="FAIL",Q6="FAIL"),"*",IF(AND(E6="TESTED",F6="PASS",D6&lt;&gt;"ARCHIVE"),AK6,IF(LEN(AK6)&gt;Config!$B$59,REPT("*",Config!$B$59),AK6)))</f>
        <v>****</v>
      </c>
      <c r="AM6" s="68" t="str">
        <f t="shared" si="2"/>
        <v>WAITING VALIDATION</v>
      </c>
    </row>
    <row r="7" spans="1:39">
      <c r="A7" s="62" t="s">
        <v>132</v>
      </c>
      <c r="B7" s="63" t="s">
        <v>173</v>
      </c>
      <c r="C7" s="63" t="s">
        <v>174</v>
      </c>
      <c r="D7" s="64" t="str">
        <f>IF(OR(VLOOKUP(B7,MOSFET!$A$4:$Z$19,20,FALSE)="ARCHIVE",VLOOKUP(C7,MOSFET!$A$4:$Z$19,20,FALSE)="ARCHIVE"),"ARCHIVE",IF(OR(VLOOKUP(B7,MOSFET!$A$4:$Z$19,20,FALSE)="DATABASE",VLOOKUP(C7,MOSFET!$A$4:$Z$19,20,FALSE)="DATABASE"),"DATABASE","CURRENT"))</f>
        <v>CURRENT</v>
      </c>
      <c r="E7" s="64" t="str">
        <f>IFERROR(VLOOKUP(A7,Selection!$B$26:$F$31,2,FALSE),"NOT TESTED")</f>
        <v>NOT TESTED</v>
      </c>
      <c r="F7" s="64" t="str">
        <f>IFERROR(VLOOKUP(A7,Selection!$B$26:$F$31,3,FALSE),"NOT TESTED")</f>
        <v>NOT TESTED</v>
      </c>
      <c r="G7" s="65">
        <f>IFERROR(VLOOKUP(B7,MOSFET!$A$4:$Z$19,5,FALSE),"")</f>
        <v>200</v>
      </c>
      <c r="H7" s="65">
        <f>IFERROR(VLOOKUP(C7,MOSFET!$A$4:$Z$19,5,FALSE),"")</f>
        <v>200</v>
      </c>
      <c r="I7" s="65">
        <f>IFERROR(VLOOKUP(B7,MOSFET!$A$4:$Z$19,6,FALSE),"")</f>
        <v>3</v>
      </c>
      <c r="J7" s="65">
        <f>IFERROR(VLOOKUP(C7,MOSFET!$A$4:$Z$19,6,FALSE),"")</f>
        <v>4.0999999999999996</v>
      </c>
      <c r="K7" s="65">
        <f>IFERROR(VLOOKUP(B7,MOSFET!$A$4:$Z$19,24,FALSE),"")</f>
        <v>93.620040000000003</v>
      </c>
      <c r="L7" s="65">
        <f>IFERROR(VLOOKUP(C7,MOSFET!$A$4:$Z$19,24,FALSE),"")</f>
        <v>68.620040000000003</v>
      </c>
      <c r="M7" s="64" t="str">
        <f>IFERROR(VLOOKUP(B7,MOSFET!$A$4:$Z$19,16,FALSE),"")</f>
        <v>YES</v>
      </c>
      <c r="N7" s="64" t="str">
        <f>IFERROR(VLOOKUP(C7,MOSFET!$A$4:$Z$19,16,FALSE),"")</f>
        <v>YES</v>
      </c>
      <c r="O7" s="64" t="str">
        <f>IF(MIN(G7,H7)&gt;=Config!$B$19,"OK","FAIL")</f>
        <v>OK</v>
      </c>
      <c r="P7" s="64" t="str">
        <f>IF(MIN(I7,J7)&gt;=Config!$B$14*Config!$B$20,"OK","FAIL")</f>
        <v>OK</v>
      </c>
      <c r="Q7" s="64" t="str">
        <f>IF(MIN(K7,L7)&gt;=Config!$B$21,"OK","FAIL")</f>
        <v>OK</v>
      </c>
      <c r="R7" s="65">
        <f>IFERROR(VLOOKUP(B7,MOSFET!$A$4:$Z$19,10,FALSE),"")</f>
        <v>340</v>
      </c>
      <c r="S7" s="65">
        <f>IFERROR(VLOOKUP(C7,MOSFET!$A$4:$Z$19,10,FALSE),"")</f>
        <v>260</v>
      </c>
      <c r="T7" s="65">
        <f>IFERROR(VLOOKUP(B7,MOSFET!$A$4:$Z$19,13,FALSE),"")</f>
        <v>15</v>
      </c>
      <c r="U7" s="65">
        <f>IFERROR(VLOOKUP(C7,MOSFET!$A$4:$Z$19,13,FALSE),"")</f>
        <v>14</v>
      </c>
      <c r="V7" s="65">
        <f>IFERROR(VLOOKUP(B7,MOSFET!$A$4:$Z$19,14,FALSE),"")</f>
        <v>8.4</v>
      </c>
      <c r="W7" s="65">
        <f>IFERROR(VLOOKUP(C7,MOSFET!$A$4:$Z$19,14,FALSE),"")</f>
        <v>7.9</v>
      </c>
      <c r="X7" s="65">
        <f>IFERROR(VLOOKUP(B7,MOSFET!$A$4:$Z$19,12,FALSE),"")</f>
        <v>33</v>
      </c>
      <c r="Y7" s="65">
        <f>IFERROR(VLOOKUP(C7,MOSFET!$A$4:$Z$19,12,FALSE),"")</f>
        <v>30</v>
      </c>
      <c r="Z7" s="65">
        <f>IFERROR(VLOOKUP(B7,MOSFET!$A$4:$Z$19,11,FALSE),"")</f>
        <v>110</v>
      </c>
      <c r="AA7" s="65">
        <f>IFERROR(VLOOKUP(C7,MOSFET!$A$4:$Z$19,11,FALSE),"")</f>
        <v>100</v>
      </c>
      <c r="AB7" s="66">
        <f>IFERROR(Config!$B$33*MIN(1,Config!$B$26/R7)+Config!$B$34*MIN(1,Config!$B$27/T7)+Config!$B$35*MIN(1,Config!$B$28/V7)+Config!$B$36*MIN(1,Config!$B$29/X7)+Config!$B$37*MIN(1,Config!$B$30/Z7)+Config!$B$38*MIN(1,K7/Config!$B$22)+Config!$B$39*IF(M7="YES",1,0.9),"")</f>
        <v>0.98787878787878791</v>
      </c>
      <c r="AC7" s="66">
        <f>IFERROR(Config!$B$33*MIN(1,Config!$C$26/S7)+Config!$B$34*MIN(1,Config!$C$27/U7)+Config!$B$35*MIN(1,Config!$C$28/W7)+Config!$B$36*MIN(1,Config!$C$29/Y7)+Config!$B$37*MIN(1,Config!$C$30/AA7)+Config!$B$38*MIN(1,L7/Config!$B$22)+Config!$B$39*IF(N7="YES",1,0.9),"")</f>
        <v>0.89887010247136823</v>
      </c>
      <c r="AD7" s="76">
        <v>100</v>
      </c>
      <c r="AE7" s="76">
        <v>100</v>
      </c>
      <c r="AF7" s="66">
        <f t="shared" si="0"/>
        <v>4.6810277379969216</v>
      </c>
      <c r="AG7" s="66">
        <f t="shared" si="0"/>
        <v>6.1213439650728976</v>
      </c>
      <c r="AH7" s="67">
        <f t="shared" si="1"/>
        <v>0.30769230769230771</v>
      </c>
      <c r="AI7" s="66">
        <f>IFERROR(Config!$B$43*MIN(R7,S7)/MAX(R7,S7)+Config!$B$44*MIN(T7,U7)/MAX(T7,U7)+Config!$B$45*MIN(V7,W7)/MAX(V7,W7),"")</f>
        <v>0.81636554621848734</v>
      </c>
      <c r="AJ7" s="66">
        <f>IF(OR(O7="FAIL",P7="FAIL",Q7="FAIL"),0,Config!$B$49*MIN(AB7,AC7)+Config!$B$50*AI7)</f>
        <v>0.88236919122079205</v>
      </c>
      <c r="AK7" s="64" t="str">
        <f>IF(AJ7&gt;=Config!$B$55,"*****",IF(AJ7&gt;=Config!$B$56,"****",IF(AJ7&gt;=Config!$B$57,"***",IF(AJ7&gt;=Config!$B$58,"**","*"))))</f>
        <v>****</v>
      </c>
      <c r="AL7" s="64" t="str">
        <f>IF(OR(O7="FAIL",P7="FAIL",Q7="FAIL"),"*",IF(AND(E7="TESTED",F7="PASS",D7&lt;&gt;"ARCHIVE"),AK7,IF(LEN(AK7)&gt;Config!$B$59,REPT("*",Config!$B$59),AK7)))</f>
        <v>****</v>
      </c>
      <c r="AM7" s="68" t="str">
        <f t="shared" si="2"/>
        <v>WAITING VALIDATION</v>
      </c>
    </row>
    <row r="8" spans="1:39">
      <c r="A8" s="62" t="s">
        <v>134</v>
      </c>
      <c r="B8" s="63" t="s">
        <v>170</v>
      </c>
      <c r="C8" s="63" t="s">
        <v>175</v>
      </c>
      <c r="D8" s="64" t="str">
        <f>IF(OR(VLOOKUP(B8,MOSFET!$A$4:$Z$19,20,FALSE)="ARCHIVE",VLOOKUP(C8,MOSFET!$A$4:$Z$19,20,FALSE)="ARCHIVE"),"ARCHIVE",IF(OR(VLOOKUP(B8,MOSFET!$A$4:$Z$19,20,FALSE)="DATABASE",VLOOKUP(C8,MOSFET!$A$4:$Z$19,20,FALSE)="DATABASE"),"DATABASE","CURRENT"))</f>
        <v>CURRENT</v>
      </c>
      <c r="E8" s="64" t="str">
        <f>IFERROR(VLOOKUP(A8,Selection!$B$26:$F$31,2,FALSE),"NOT TESTED")</f>
        <v>TESTED</v>
      </c>
      <c r="F8" s="64" t="str">
        <f>IFERROR(VLOOKUP(A8,Selection!$B$26:$F$31,3,FALSE),"NOT TESTED")</f>
        <v>NOT TESTED</v>
      </c>
      <c r="G8" s="65">
        <f>IFERROR(VLOOKUP(B8,MOSFET!$A$4:$Z$19,5,FALSE),"")</f>
        <v>200</v>
      </c>
      <c r="H8" s="65">
        <f>IFERROR(VLOOKUP(C8,MOSFET!$A$4:$Z$19,5,FALSE),"")</f>
        <v>900</v>
      </c>
      <c r="I8" s="65">
        <f>IFERROR(VLOOKUP(B8,MOSFET!$A$4:$Z$19,6,FALSE),"")</f>
        <v>5.2</v>
      </c>
      <c r="J8" s="65">
        <f>IFERROR(VLOOKUP(C8,MOSFET!$A$4:$Z$19,6,FALSE),"")</f>
        <v>4</v>
      </c>
      <c r="K8" s="65">
        <f>IFERROR(VLOOKUP(B8,MOSFET!$A$4:$Z$19,24,FALSE),"")</f>
        <v>72.283832000000004</v>
      </c>
      <c r="L8" s="65">
        <f>IFERROR(VLOOKUP(C8,MOSFET!$A$4:$Z$19,24,FALSE),"")</f>
        <v>72.616904000000005</v>
      </c>
      <c r="M8" s="64" t="str">
        <f>IFERROR(VLOOKUP(B8,MOSFET!$A$4:$Z$19,16,FALSE),"")</f>
        <v>YES</v>
      </c>
      <c r="N8" s="64" t="str">
        <f>IFERROR(VLOOKUP(C8,MOSFET!$A$4:$Z$19,16,FALSE),"")</f>
        <v>YES</v>
      </c>
      <c r="O8" s="64" t="str">
        <f>IF(MIN(G8,H8)&gt;=Config!$B$19,"OK","FAIL")</f>
        <v>OK</v>
      </c>
      <c r="P8" s="64" t="str">
        <f>IF(MIN(I8,J8)&gt;=Config!$B$14*Config!$B$20,"OK","FAIL")</f>
        <v>OK</v>
      </c>
      <c r="Q8" s="64" t="str">
        <f>IF(MIN(K8,L8)&gt;=Config!$B$21,"OK","FAIL")</f>
        <v>OK</v>
      </c>
      <c r="R8" s="65">
        <f>IFERROR(VLOOKUP(B8,MOSFET!$A$4:$Z$19,10,FALSE),"")</f>
        <v>590</v>
      </c>
      <c r="S8" s="65">
        <f>IFERROR(VLOOKUP(C8,MOSFET!$A$4:$Z$19,10,FALSE),"")</f>
        <v>740</v>
      </c>
      <c r="T8" s="65">
        <f>IFERROR(VLOOKUP(B8,MOSFET!$A$4:$Z$19,13,FALSE),"")</f>
        <v>19</v>
      </c>
      <c r="U8" s="65">
        <f>IFERROR(VLOOKUP(C8,MOSFET!$A$4:$Z$19,13,FALSE),"")</f>
        <v>17</v>
      </c>
      <c r="V8" s="65">
        <f>IFERROR(VLOOKUP(B8,MOSFET!$A$4:$Z$19,14,FALSE),"")</f>
        <v>9.5</v>
      </c>
      <c r="W8" s="65">
        <f>IFERROR(VLOOKUP(C8,MOSFET!$A$4:$Z$19,14,FALSE),"")</f>
        <v>7.5</v>
      </c>
      <c r="X8" s="65">
        <f>IFERROR(VLOOKUP(B8,MOSFET!$A$4:$Z$19,12,FALSE),"")</f>
        <v>25</v>
      </c>
      <c r="Y8" s="65">
        <f>IFERROR(VLOOKUP(C8,MOSFET!$A$4:$Z$19,12,FALSE),"")</f>
        <v>5.6</v>
      </c>
      <c r="Z8" s="65">
        <f>IFERROR(VLOOKUP(B8,MOSFET!$A$4:$Z$19,11,FALSE),"")</f>
        <v>140</v>
      </c>
      <c r="AA8" s="65">
        <f>IFERROR(VLOOKUP(C8,MOSFET!$A$4:$Z$19,11,FALSE),"")</f>
        <v>65</v>
      </c>
      <c r="AB8" s="66">
        <f>IFERROR(Config!$B$33*MIN(1,Config!$B$26/R8)+Config!$B$34*MIN(1,Config!$B$27/T8)+Config!$B$35*MIN(1,Config!$B$28/V8)+Config!$B$36*MIN(1,Config!$B$29/X8)+Config!$B$37*MIN(1,Config!$B$30/Z8)+Config!$B$38*MIN(1,K8/Config!$B$22)+Config!$B$39*IF(M8="YES",1,0.9),"")</f>
        <v>1.0000000000000002</v>
      </c>
      <c r="AC8" s="66">
        <f>IFERROR(Config!$B$33*MIN(1,Config!$C$26/S8)+Config!$B$34*MIN(1,Config!$C$27/U8)+Config!$B$35*MIN(1,Config!$C$28/W8)+Config!$B$36*MIN(1,Config!$C$29/Y8)+Config!$B$37*MIN(1,Config!$C$30/AA8)+Config!$B$38*MIN(1,L8/Config!$B$22)+Config!$B$39*IF(N8="YES",1,0.9),"")</f>
        <v>0.83950914440620317</v>
      </c>
      <c r="AD8" s="76">
        <v>100</v>
      </c>
      <c r="AE8" s="76">
        <v>100</v>
      </c>
      <c r="AF8" s="66">
        <f t="shared" si="0"/>
        <v>2.6975414083372096</v>
      </c>
      <c r="AG8" s="66">
        <f t="shared" si="0"/>
        <v>2.1507424742148022</v>
      </c>
      <c r="AH8" s="67">
        <f t="shared" si="1"/>
        <v>0.25423728813559321</v>
      </c>
      <c r="AI8" s="66">
        <f>IFERROR(Config!$B$43*MIN(R8,S8)/MAX(R8,S8)+Config!$B$44*MIN(T8,U8)/MAX(T8,U8)+Config!$B$45*MIN(V8,W8)/MAX(V8,W8),"")</f>
        <v>0.8107396870554765</v>
      </c>
      <c r="AJ8" s="66">
        <f>IF(OR(O8="FAIL",P8="FAIL",Q8="FAIL"),0,Config!$B$49*MIN(AB8,AC8)+Config!$B$50*AI8)</f>
        <v>0.8337552529360579</v>
      </c>
      <c r="AK8" s="64" t="str">
        <f>IF(AJ8&gt;=Config!$B$55,"*****",IF(AJ8&gt;=Config!$B$56,"****",IF(AJ8&gt;=Config!$B$57,"***",IF(AJ8&gt;=Config!$B$58,"**","*"))))</f>
        <v>****</v>
      </c>
      <c r="AL8" s="64" t="str">
        <f>IF(OR(O8="FAIL",P8="FAIL",Q8="FAIL"),"*",IF(AND(E8="TESTED",F8="PASS",D8&lt;&gt;"ARCHIVE"),AK8,IF(LEN(AK8)&gt;Config!$B$59,REPT("*",Config!$B$59),AK8)))</f>
        <v>****</v>
      </c>
      <c r="AM8" s="68" t="str">
        <f t="shared" si="2"/>
        <v>WAITING VALIDATION</v>
      </c>
    </row>
    <row r="9" spans="1:39">
      <c r="A9" s="62" t="s">
        <v>136</v>
      </c>
      <c r="B9" s="63" t="s">
        <v>176</v>
      </c>
      <c r="C9" s="63" t="s">
        <v>177</v>
      </c>
      <c r="D9" s="64" t="str">
        <f>IF(OR(VLOOKUP(B9,MOSFET!$A$4:$Z$19,20,FALSE)="ARCHIVE",VLOOKUP(C9,MOSFET!$A$4:$Z$19,20,FALSE)="ARCHIVE"),"ARCHIVE",IF(OR(VLOOKUP(B9,MOSFET!$A$4:$Z$19,20,FALSE)="DATABASE",VLOOKUP(C9,MOSFET!$A$4:$Z$19,20,FALSE)="DATABASE"),"DATABASE","CURRENT"))</f>
        <v>CURRENT</v>
      </c>
      <c r="E9" s="64" t="str">
        <f>IFERROR(VLOOKUP(A9,Selection!$B$26:$F$31,2,FALSE),"NOT TESTED")</f>
        <v>NOT TESTED</v>
      </c>
      <c r="F9" s="64" t="str">
        <f>IFERROR(VLOOKUP(A9,Selection!$B$26:$F$31,3,FALSE),"NOT TESTED")</f>
        <v>NOT TESTED</v>
      </c>
      <c r="G9" s="65">
        <f>IFERROR(VLOOKUP(B9,MOSFET!$A$4:$Z$19,5,FALSE),"")</f>
        <v>200</v>
      </c>
      <c r="H9" s="65">
        <f>IFERROR(VLOOKUP(C9,MOSFET!$A$4:$Z$19,5,FALSE),"")</f>
        <v>200</v>
      </c>
      <c r="I9" s="65">
        <f>IFERROR(VLOOKUP(B9,MOSFET!$A$4:$Z$19,6,FALSE),"")</f>
        <v>4.3</v>
      </c>
      <c r="J9" s="65">
        <f>IFERROR(VLOOKUP(C9,MOSFET!$A$4:$Z$19,6,FALSE),"")</f>
        <v>5.9</v>
      </c>
      <c r="K9" s="65">
        <f>IFERROR(VLOOKUP(B9,MOSFET!$A$4:$Z$19,24,FALSE),"")</f>
        <v>70.007840000000002</v>
      </c>
      <c r="L9" s="65">
        <f>IFERROR(VLOOKUP(C9,MOSFET!$A$4:$Z$19,24,FALSE),"")</f>
        <v>70.007840000000002</v>
      </c>
      <c r="M9" s="64" t="str">
        <f>IFERROR(VLOOKUP(B9,MOSFET!$A$4:$Z$19,16,FALSE),"")</f>
        <v>YES</v>
      </c>
      <c r="N9" s="64" t="str">
        <f>IFERROR(VLOOKUP(C9,MOSFET!$A$4:$Z$19,16,FALSE),"")</f>
        <v>YES</v>
      </c>
      <c r="O9" s="64" t="str">
        <f>IF(MIN(G9,H9)&gt;=Config!$B$19,"OK","FAIL")</f>
        <v>OK</v>
      </c>
      <c r="P9" s="64" t="str">
        <f>IF(MIN(I9,J9)&gt;=Config!$B$14*Config!$B$20,"OK","FAIL")</f>
        <v>OK</v>
      </c>
      <c r="Q9" s="64" t="str">
        <f>IF(MIN(K9,L9)&gt;=Config!$B$21,"OK","FAIL")</f>
        <v>OK</v>
      </c>
      <c r="R9" s="65">
        <f>IFERROR(VLOOKUP(B9,MOSFET!$A$4:$Z$19,10,FALSE),"")</f>
        <v>700</v>
      </c>
      <c r="S9" s="65">
        <f>IFERROR(VLOOKUP(C9,MOSFET!$A$4:$Z$19,10,FALSE),"")</f>
        <v>800</v>
      </c>
      <c r="T9" s="65">
        <f>IFERROR(VLOOKUP(B9,MOSFET!$A$4:$Z$19,13,FALSE),"")</f>
        <v>29</v>
      </c>
      <c r="U9" s="65">
        <f>IFERROR(VLOOKUP(C9,MOSFET!$A$4:$Z$19,13,FALSE),"")</f>
        <v>43</v>
      </c>
      <c r="V9" s="65">
        <f>IFERROR(VLOOKUP(B9,MOSFET!$A$4:$Z$19,14,FALSE),"")</f>
        <v>15</v>
      </c>
      <c r="W9" s="65">
        <f>IFERROR(VLOOKUP(C9,MOSFET!$A$4:$Z$19,14,FALSE),"")</f>
        <v>23</v>
      </c>
      <c r="X9" s="65">
        <f>IFERROR(VLOOKUP(B9,MOSFET!$A$4:$Z$19,12,FALSE),"")</f>
        <v>40</v>
      </c>
      <c r="Y9" s="65">
        <f>IFERROR(VLOOKUP(C9,MOSFET!$A$4:$Z$19,12,FALSE),"")</f>
        <v>76</v>
      </c>
      <c r="Z9" s="65">
        <f>IFERROR(VLOOKUP(B9,MOSFET!$A$4:$Z$19,11,FALSE),"")</f>
        <v>200</v>
      </c>
      <c r="AA9" s="65">
        <f>IFERROR(VLOOKUP(C9,MOSFET!$A$4:$Z$19,11,FALSE),"")</f>
        <v>240</v>
      </c>
      <c r="AB9" s="66">
        <f>IFERROR(Config!$B$33*MIN(1,Config!$B$26/R9)+Config!$B$34*MIN(1,Config!$B$27/T9)+Config!$B$35*MIN(1,Config!$B$28/V9)+Config!$B$36*MIN(1,Config!$B$29/X9)+Config!$B$37*MIN(1,Config!$B$30/Z9)+Config!$B$38*MIN(1,K9/Config!$B$22)+Config!$B$39*IF(M9="YES",1,0.9),"")</f>
        <v>0.8228591954022989</v>
      </c>
      <c r="AC9" s="66">
        <f>IFERROR(Config!$B$33*MIN(1,Config!$C$26/S9)+Config!$B$34*MIN(1,Config!$C$27/U9)+Config!$B$35*MIN(1,Config!$C$28/W9)+Config!$B$36*MIN(1,Config!$C$29/Y9)+Config!$B$37*MIN(1,Config!$C$30/AA9)+Config!$B$38*MIN(1,L9/Config!$B$22)+Config!$B$39*IF(N9="YES",1,0.9),"")</f>
        <v>0.62299714956628172</v>
      </c>
      <c r="AD9" s="76">
        <v>100</v>
      </c>
      <c r="AE9" s="76">
        <v>100</v>
      </c>
      <c r="AF9" s="66">
        <f t="shared" si="0"/>
        <v>2.2736420441699332</v>
      </c>
      <c r="AG9" s="66">
        <f t="shared" si="0"/>
        <v>1.9894367886486917</v>
      </c>
      <c r="AH9" s="67">
        <f t="shared" si="1"/>
        <v>0.14285714285714279</v>
      </c>
      <c r="AI9" s="66">
        <f>IFERROR(Config!$B$43*MIN(R9,S9)/MAX(R9,S9)+Config!$B$44*MIN(T9,U9)/MAX(T9,U9)+Config!$B$45*MIN(V9,W9)/MAX(V9,W9),"")</f>
        <v>0.81148887765419608</v>
      </c>
      <c r="AJ9" s="66">
        <f>IF(OR(O9="FAIL",P9="FAIL",Q9="FAIL"),0,Config!$B$49*MIN(AB9,AC9)+Config!$B$50*AI9)</f>
        <v>0.66069549518386461</v>
      </c>
      <c r="AK9" s="64" t="str">
        <f>IF(AJ9&gt;=Config!$B$55,"*****",IF(AJ9&gt;=Config!$B$56,"****",IF(AJ9&gt;=Config!$B$57,"***",IF(AJ9&gt;=Config!$B$58,"**","*"))))</f>
        <v>**</v>
      </c>
      <c r="AL9" s="64" t="str">
        <f>IF(OR(O9="FAIL",P9="FAIL",Q9="FAIL"),"*",IF(AND(E9="TESTED",F9="PASS",D9&lt;&gt;"ARCHIVE"),AK9,IF(LEN(AK9)&gt;Config!$B$59,REPT("*",Config!$B$59),AK9)))</f>
        <v>**</v>
      </c>
      <c r="AM9" s="68" t="str">
        <f t="shared" si="2"/>
        <v>WAITING VALIDATION</v>
      </c>
    </row>
    <row r="10" spans="1:39">
      <c r="A10" s="69" t="s">
        <v>138</v>
      </c>
      <c r="B10" s="70" t="s">
        <v>178</v>
      </c>
      <c r="C10" s="70" t="s">
        <v>179</v>
      </c>
      <c r="D10" s="71" t="str">
        <f>IF(OR(VLOOKUP(B10,MOSFET!$A$4:$Z$19,20,FALSE)="ARCHIVE",VLOOKUP(C10,MOSFET!$A$4:$Z$19,20,FALSE)="ARCHIVE"),"ARCHIVE",IF(OR(VLOOKUP(B10,MOSFET!$A$4:$Z$19,20,FALSE)="DATABASE",VLOOKUP(C10,MOSFET!$A$4:$Z$19,20,FALSE)="DATABASE"),"DATABASE","CURRENT"))</f>
        <v>ARCHIVE</v>
      </c>
      <c r="E10" s="71" t="str">
        <f>IFERROR(VLOOKUP(A10,Selection!$B$26:$F$31,2,FALSE),"NOT TESTED")</f>
        <v>TESTED</v>
      </c>
      <c r="F10" s="71" t="str">
        <f>IFERROR(VLOOKUP(A10,Selection!$B$26:$F$31,3,FALSE),"NOT TESTED")</f>
        <v>FAIL</v>
      </c>
      <c r="G10" s="72">
        <f>IFERROR(VLOOKUP(B10,MOSFET!$A$4:$Z$19,5,FALSE),"")</f>
        <v>200</v>
      </c>
      <c r="H10" s="72">
        <f>IFERROR(VLOOKUP(C10,MOSFET!$A$4:$Z$19,5,FALSE),"")</f>
        <v>300</v>
      </c>
      <c r="I10" s="72">
        <f>IFERROR(VLOOKUP(B10,MOSFET!$A$4:$Z$19,6,FALSE),"")</f>
        <v>2.8</v>
      </c>
      <c r="J10" s="72">
        <f>IFERROR(VLOOKUP(C10,MOSFET!$A$4:$Z$19,6,FALSE),"")</f>
        <v>3.2</v>
      </c>
      <c r="K10" s="72">
        <f>IFERROR(VLOOKUP(B10,MOSFET!$A$4:$Z$19,24,FALSE),"")</f>
        <v>73.338560000000001</v>
      </c>
      <c r="L10" s="72">
        <f>IFERROR(VLOOKUP(C10,MOSFET!$A$4:$Z$19,24,FALSE),"")</f>
        <v>73.699387999999999</v>
      </c>
      <c r="M10" s="71" t="str">
        <f>IFERROR(VLOOKUP(B10,MOSFET!$A$4:$Z$19,16,FALSE),"")</f>
        <v>NO</v>
      </c>
      <c r="N10" s="71" t="str">
        <f>IFERROR(VLOOKUP(C10,MOSFET!$A$4:$Z$19,16,FALSE),"")</f>
        <v>NO</v>
      </c>
      <c r="O10" s="71" t="str">
        <f>IF(MIN(G10,H10)&gt;=Config!$B$19,"OK","FAIL")</f>
        <v>OK</v>
      </c>
      <c r="P10" s="71" t="str">
        <f>IF(MIN(I10,J10)&gt;=Config!$B$14*Config!$B$20,"OK","FAIL")</f>
        <v>OK</v>
      </c>
      <c r="Q10" s="71" t="str">
        <f>IF(MIN(K10,L10)&gt;=Config!$B$21,"OK","FAIL")</f>
        <v>OK</v>
      </c>
      <c r="R10" s="72">
        <f>IFERROR(VLOOKUP(B10,MOSFET!$A$4:$Z$19,10,FALSE),"")</f>
        <v>190</v>
      </c>
      <c r="S10" s="72">
        <f>IFERROR(VLOOKUP(C10,MOSFET!$A$4:$Z$19,10,FALSE),"")</f>
        <v>175</v>
      </c>
      <c r="T10" s="72">
        <f>IFERROR(VLOOKUP(B10,MOSFET!$A$4:$Z$19,13,FALSE),"")</f>
        <v>6</v>
      </c>
      <c r="U10" s="72">
        <f>IFERROR(VLOOKUP(C10,MOSFET!$A$4:$Z$19,13,FALSE),"")</f>
        <v>5.5</v>
      </c>
      <c r="V10" s="72">
        <f>IFERROR(VLOOKUP(B10,MOSFET!$A$4:$Z$19,14,FALSE),"")</f>
        <v>2.9</v>
      </c>
      <c r="W10" s="72">
        <f>IFERROR(VLOOKUP(C10,MOSFET!$A$4:$Z$19,14,FALSE),"")</f>
        <v>2.5</v>
      </c>
      <c r="X10" s="72">
        <f>IFERROR(VLOOKUP(B10,MOSFET!$A$4:$Z$19,12,FALSE),"")</f>
        <v>7.5</v>
      </c>
      <c r="Y10" s="72">
        <f>IFERROR(VLOOKUP(C10,MOSFET!$A$4:$Z$19,12,FALSE),"")</f>
        <v>6</v>
      </c>
      <c r="Z10" s="72">
        <f>IFERROR(VLOOKUP(B10,MOSFET!$A$4:$Z$19,11,FALSE),"")</f>
        <v>45</v>
      </c>
      <c r="AA10" s="72">
        <f>IFERROR(VLOOKUP(C10,MOSFET!$A$4:$Z$19,11,FALSE),"")</f>
        <v>40</v>
      </c>
      <c r="AB10" s="73">
        <f>IFERROR(Config!$B$33*MIN(1,Config!$B$26/R10)+Config!$B$34*MIN(1,Config!$B$27/T10)+Config!$B$35*MIN(1,Config!$B$28/V10)+Config!$B$36*MIN(1,Config!$B$29/X10)+Config!$B$37*MIN(1,Config!$B$30/Z10)+Config!$B$38*MIN(1,K10/Config!$B$22)+Config!$B$39*IF(M10="YES",1,0.9),"")</f>
        <v>0.9900000000000001</v>
      </c>
      <c r="AC10" s="73">
        <f>IFERROR(Config!$B$33*MIN(1,Config!$C$26/S10)+Config!$B$34*MIN(1,Config!$C$27/U10)+Config!$B$35*MIN(1,Config!$C$28/W10)+Config!$B$36*MIN(1,Config!$C$29/Y10)+Config!$B$37*MIN(1,Config!$C$30/AA10)+Config!$B$38*MIN(1,L10/Config!$B$22)+Config!$B$39*IF(N10="YES",1,0.9),"")</f>
        <v>0.98583333333333323</v>
      </c>
      <c r="AD10" s="77">
        <v>100</v>
      </c>
      <c r="AE10" s="77">
        <v>100</v>
      </c>
      <c r="AF10" s="73">
        <f t="shared" si="0"/>
        <v>8.3765759522050178</v>
      </c>
      <c r="AG10" s="73">
        <f t="shared" si="0"/>
        <v>9.0945681766797328</v>
      </c>
      <c r="AH10" s="74">
        <f t="shared" si="1"/>
        <v>8.5714285714285618E-2</v>
      </c>
      <c r="AI10" s="73">
        <f>IFERROR(Config!$B$43*MIN(R10,S10)/MAX(R10,S10)+Config!$B$44*MIN(T10,U10)/MAX(T10,U10)+Config!$B$45*MIN(V10,W10)/MAX(V10,W10),"")</f>
        <v>0.9115471869328492</v>
      </c>
      <c r="AJ10" s="73">
        <f>IF(OR(O10="FAIL",P10="FAIL",Q10="FAIL"),0,Config!$B$49*MIN(AB10,AC10)+Config!$B$50*AI10)</f>
        <v>0.97097610405323653</v>
      </c>
      <c r="AK10" s="71" t="str">
        <f>IF(AJ10&gt;=Config!$B$55,"*****",IF(AJ10&gt;=Config!$B$56,"****",IF(AJ10&gt;=Config!$B$57,"***",IF(AJ10&gt;=Config!$B$58,"**","*"))))</f>
        <v>*****</v>
      </c>
      <c r="AL10" s="71" t="str">
        <f>IF(OR(O10="FAIL",P10="FAIL",Q10="FAIL"),"*",IF(AND(E10="TESTED",F10="PASS",D10&lt;&gt;"ARCHIVE"),AK10,IF(LEN(AK10)&gt;Config!$B$59,REPT("*",Config!$B$59),AK10)))</f>
        <v>****</v>
      </c>
      <c r="AM10" s="75" t="str">
        <f t="shared" si="2"/>
        <v>NOT VALIDATED</v>
      </c>
    </row>
  </sheetData>
  <mergeCells count="2">
    <mergeCell ref="A1:AM1"/>
    <mergeCell ref="A2:A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9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17" customWidth="1"/>
    <col min="2" max="3" width="8" customWidth="1"/>
    <col min="4" max="4" width="16" customWidth="1"/>
    <col min="5" max="6" width="9" customWidth="1"/>
    <col min="7" max="7" width="10" customWidth="1"/>
    <col min="8" max="8" width="11" customWidth="1"/>
    <col min="9" max="9" width="9" customWidth="1"/>
    <col min="10" max="14" width="10" customWidth="1"/>
    <col min="15" max="15" width="18" customWidth="1"/>
    <col min="16" max="16" width="10" customWidth="1"/>
    <col min="17" max="17" width="38" customWidth="1"/>
    <col min="18" max="18" width="28" customWidth="1"/>
    <col min="19" max="19" width="36" customWidth="1"/>
    <col min="20" max="20" width="12" customWidth="1"/>
    <col min="21" max="21" width="36" customWidth="1"/>
    <col min="22" max="22" width="10" customWidth="1"/>
    <col min="23" max="23" width="11" customWidth="1"/>
    <col min="24" max="26" width="12" customWidth="1"/>
  </cols>
  <sheetData>
    <row r="1" spans="1:26" ht="30" customHeight="1">
      <c r="A1" s="102" t="s">
        <v>180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6" ht="36" customHeight="1">
      <c r="A2" s="103" t="s">
        <v>181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spans="1:26" ht="44" customHeight="1">
      <c r="A3" s="20" t="s">
        <v>182</v>
      </c>
      <c r="B3" s="21" t="s">
        <v>183</v>
      </c>
      <c r="C3" s="21" t="s">
        <v>184</v>
      </c>
      <c r="D3" s="21" t="s">
        <v>185</v>
      </c>
      <c r="E3" s="21" t="s">
        <v>186</v>
      </c>
      <c r="F3" s="21" t="s">
        <v>187</v>
      </c>
      <c r="G3" s="21" t="s">
        <v>188</v>
      </c>
      <c r="H3" s="21" t="s">
        <v>189</v>
      </c>
      <c r="I3" s="21" t="s">
        <v>190</v>
      </c>
      <c r="J3" s="21" t="s">
        <v>191</v>
      </c>
      <c r="K3" s="21" t="s">
        <v>192</v>
      </c>
      <c r="L3" s="21" t="s">
        <v>193</v>
      </c>
      <c r="M3" s="21" t="s">
        <v>194</v>
      </c>
      <c r="N3" s="21" t="s">
        <v>195</v>
      </c>
      <c r="O3" s="21" t="s">
        <v>196</v>
      </c>
      <c r="P3" s="21" t="s">
        <v>197</v>
      </c>
      <c r="Q3" s="21" t="s">
        <v>198</v>
      </c>
      <c r="R3" s="21" t="s">
        <v>199</v>
      </c>
      <c r="S3" s="21" t="s">
        <v>200</v>
      </c>
      <c r="T3" s="21" t="s">
        <v>97</v>
      </c>
      <c r="U3" s="21" t="s">
        <v>201</v>
      </c>
      <c r="V3" s="21" t="s">
        <v>202</v>
      </c>
      <c r="W3" s="21" t="s">
        <v>203</v>
      </c>
      <c r="X3" s="21" t="s">
        <v>122</v>
      </c>
      <c r="Y3" s="21" t="s">
        <v>204</v>
      </c>
      <c r="Z3" s="22" t="s">
        <v>205</v>
      </c>
    </row>
    <row r="4" spans="1:26" ht="30">
      <c r="A4" s="28" t="s">
        <v>170</v>
      </c>
      <c r="B4" s="6" t="s">
        <v>114</v>
      </c>
      <c r="C4" s="6" t="s">
        <v>206</v>
      </c>
      <c r="D4" s="6" t="s">
        <v>207</v>
      </c>
      <c r="E4" s="31">
        <v>200</v>
      </c>
      <c r="F4" s="31">
        <v>5.2</v>
      </c>
      <c r="G4" s="31">
        <v>45</v>
      </c>
      <c r="H4" s="31">
        <v>2.78</v>
      </c>
      <c r="I4" s="31">
        <v>150</v>
      </c>
      <c r="J4" s="31">
        <v>590</v>
      </c>
      <c r="K4" s="31">
        <v>140</v>
      </c>
      <c r="L4" s="31">
        <v>25</v>
      </c>
      <c r="M4" s="31">
        <v>19</v>
      </c>
      <c r="N4" s="31">
        <v>9.5</v>
      </c>
      <c r="O4" s="8" t="s">
        <v>208</v>
      </c>
      <c r="P4" s="8" t="s">
        <v>209</v>
      </c>
      <c r="Q4" s="6" t="s">
        <v>210</v>
      </c>
      <c r="R4" s="6" t="s">
        <v>211</v>
      </c>
      <c r="S4" s="6"/>
      <c r="T4" s="6" t="s">
        <v>212</v>
      </c>
      <c r="U4" s="6" t="s">
        <v>213</v>
      </c>
      <c r="V4" s="8" t="str">
        <f>IF(AND(E4&gt;=Config!$B$19,F4&gt;=Config!$B$14*Config!$B$20,X4&gt;=Config!$B$21),"YES","NO")</f>
        <v>YES</v>
      </c>
      <c r="W4" s="8">
        <f>Config!$B$16+(Config!$B$14*Config!$B$15)*H4</f>
        <v>77.716167999999996</v>
      </c>
      <c r="X4" s="8">
        <f t="shared" ref="X4:X19" si="0">I4-W4</f>
        <v>72.283832000000004</v>
      </c>
      <c r="Y4" s="8">
        <f>E4/Config!$B$19</f>
        <v>1.3333333333333333</v>
      </c>
      <c r="Z4" s="34">
        <f>F4/(Config!$B$14*Config!$B$20)</f>
        <v>13.488975356679637</v>
      </c>
    </row>
    <row r="5" spans="1:26" ht="30">
      <c r="A5" s="28" t="s">
        <v>178</v>
      </c>
      <c r="B5" s="6" t="s">
        <v>114</v>
      </c>
      <c r="C5" s="6" t="s">
        <v>206</v>
      </c>
      <c r="D5" s="6" t="s">
        <v>207</v>
      </c>
      <c r="E5" s="31">
        <v>200</v>
      </c>
      <c r="F5" s="31">
        <v>2.8</v>
      </c>
      <c r="G5" s="31">
        <v>52</v>
      </c>
      <c r="H5" s="31">
        <v>2.4</v>
      </c>
      <c r="I5" s="31">
        <v>150</v>
      </c>
      <c r="J5" s="31">
        <v>190</v>
      </c>
      <c r="K5" s="31">
        <v>45</v>
      </c>
      <c r="L5" s="31">
        <v>7.5</v>
      </c>
      <c r="M5" s="31">
        <v>6</v>
      </c>
      <c r="N5" s="31">
        <v>2.9</v>
      </c>
      <c r="O5" s="8" t="s">
        <v>214</v>
      </c>
      <c r="P5" s="8" t="s">
        <v>215</v>
      </c>
      <c r="Q5" s="6" t="s">
        <v>216</v>
      </c>
      <c r="R5" s="6" t="s">
        <v>217</v>
      </c>
      <c r="S5" s="6"/>
      <c r="T5" s="6" t="s">
        <v>218</v>
      </c>
      <c r="U5" s="6" t="s">
        <v>219</v>
      </c>
      <c r="V5" s="8" t="str">
        <f>IF(AND(E5&gt;=Config!$B$19,F5&gt;=Config!$B$14*Config!$B$20,X5&gt;=Config!$B$21),"YES","NO")</f>
        <v>YES</v>
      </c>
      <c r="W5" s="8">
        <f>Config!$B$16+(Config!$B$14*Config!$B$15)*H5</f>
        <v>76.661439999999999</v>
      </c>
      <c r="X5" s="8">
        <f t="shared" si="0"/>
        <v>73.338560000000001</v>
      </c>
      <c r="Y5" s="8">
        <f>E5/Config!$B$19</f>
        <v>1.3333333333333333</v>
      </c>
      <c r="Z5" s="34">
        <f>F5/(Config!$B$14*Config!$B$20)</f>
        <v>7.2632944228274958</v>
      </c>
    </row>
    <row r="6" spans="1:26" ht="30">
      <c r="A6" s="28" t="s">
        <v>179</v>
      </c>
      <c r="B6" s="6" t="s">
        <v>115</v>
      </c>
      <c r="C6" s="6" t="s">
        <v>220</v>
      </c>
      <c r="D6" s="6" t="s">
        <v>207</v>
      </c>
      <c r="E6" s="31">
        <v>300</v>
      </c>
      <c r="F6" s="31">
        <v>3.2</v>
      </c>
      <c r="G6" s="31">
        <v>55</v>
      </c>
      <c r="H6" s="31">
        <v>2.27</v>
      </c>
      <c r="I6" s="31">
        <v>150</v>
      </c>
      <c r="J6" s="31">
        <v>175</v>
      </c>
      <c r="K6" s="31">
        <v>40</v>
      </c>
      <c r="L6" s="31">
        <v>6</v>
      </c>
      <c r="M6" s="31">
        <v>5.5</v>
      </c>
      <c r="N6" s="31">
        <v>2.5</v>
      </c>
      <c r="O6" s="8" t="s">
        <v>214</v>
      </c>
      <c r="P6" s="8" t="s">
        <v>215</v>
      </c>
      <c r="Q6" s="6" t="s">
        <v>221</v>
      </c>
      <c r="R6" s="6" t="s">
        <v>222</v>
      </c>
      <c r="S6" s="6"/>
      <c r="T6" s="6" t="s">
        <v>218</v>
      </c>
      <c r="U6" s="6" t="s">
        <v>223</v>
      </c>
      <c r="V6" s="8" t="str">
        <f>IF(AND(E6&gt;=Config!$B$19,F6&gt;=Config!$B$14*Config!$B$20,X6&gt;=Config!$B$21),"YES","NO")</f>
        <v>YES</v>
      </c>
      <c r="W6" s="8">
        <f>Config!$B$16+(Config!$B$14*Config!$B$15)*H6</f>
        <v>76.300612000000001</v>
      </c>
      <c r="X6" s="8">
        <f t="shared" si="0"/>
        <v>73.699387999999999</v>
      </c>
      <c r="Y6" s="8">
        <f>E6/Config!$B$19</f>
        <v>2</v>
      </c>
      <c r="Z6" s="34">
        <f>F6/(Config!$B$14*Config!$B$20)</f>
        <v>8.3009079118028541</v>
      </c>
    </row>
    <row r="7" spans="1:26" ht="45">
      <c r="A7" s="28" t="s">
        <v>172</v>
      </c>
      <c r="B7" s="6" t="s">
        <v>115</v>
      </c>
      <c r="C7" s="6" t="s">
        <v>220</v>
      </c>
      <c r="D7" s="6" t="s">
        <v>207</v>
      </c>
      <c r="E7" s="31">
        <v>800</v>
      </c>
      <c r="F7" s="31">
        <v>3</v>
      </c>
      <c r="G7" s="31">
        <v>107</v>
      </c>
      <c r="H7" s="31">
        <v>1.17</v>
      </c>
      <c r="I7" s="31">
        <v>150</v>
      </c>
      <c r="J7" s="31">
        <v>543</v>
      </c>
      <c r="K7" s="31">
        <v>54</v>
      </c>
      <c r="L7" s="31">
        <v>5.5</v>
      </c>
      <c r="M7" s="31">
        <v>13</v>
      </c>
      <c r="N7" s="31">
        <v>5.8</v>
      </c>
      <c r="O7" s="8" t="s">
        <v>214</v>
      </c>
      <c r="P7" s="8" t="s">
        <v>215</v>
      </c>
      <c r="Q7" s="6" t="s">
        <v>224</v>
      </c>
      <c r="R7" s="6" t="s">
        <v>225</v>
      </c>
      <c r="S7" s="6"/>
      <c r="T7" s="6" t="s">
        <v>212</v>
      </c>
      <c r="U7" s="6" t="s">
        <v>226</v>
      </c>
      <c r="V7" s="8" t="str">
        <f>IF(AND(E7&gt;=Config!$B$19,F7&gt;=Config!$B$14*Config!$B$20,X7&gt;=Config!$B$21),"YES","NO")</f>
        <v>YES</v>
      </c>
      <c r="W7" s="8">
        <f>Config!$B$16+(Config!$B$14*Config!$B$15)*H7</f>
        <v>73.247451999999996</v>
      </c>
      <c r="X7" s="8">
        <f t="shared" si="0"/>
        <v>76.752548000000004</v>
      </c>
      <c r="Y7" s="8">
        <f>E7/Config!$B$19</f>
        <v>5.333333333333333</v>
      </c>
      <c r="Z7" s="34">
        <f>F7/(Config!$B$14*Config!$B$20)</f>
        <v>7.782101167315175</v>
      </c>
    </row>
    <row r="8" spans="1:26" ht="30">
      <c r="A8" s="28" t="s">
        <v>171</v>
      </c>
      <c r="B8" s="6" t="s">
        <v>115</v>
      </c>
      <c r="C8" s="6" t="s">
        <v>220</v>
      </c>
      <c r="D8" s="6" t="s">
        <v>207</v>
      </c>
      <c r="E8" s="31">
        <v>800</v>
      </c>
      <c r="F8" s="31">
        <v>3</v>
      </c>
      <c r="G8" s="31">
        <v>39</v>
      </c>
      <c r="H8" s="31">
        <v>3.2</v>
      </c>
      <c r="I8" s="31">
        <v>150</v>
      </c>
      <c r="J8" s="31">
        <v>543</v>
      </c>
      <c r="K8" s="31">
        <v>54</v>
      </c>
      <c r="L8" s="31">
        <v>5.5</v>
      </c>
      <c r="M8" s="31">
        <v>13</v>
      </c>
      <c r="N8" s="31">
        <v>5.8</v>
      </c>
      <c r="O8" s="8" t="s">
        <v>208</v>
      </c>
      <c r="P8" s="8" t="s">
        <v>209</v>
      </c>
      <c r="Q8" s="6" t="s">
        <v>224</v>
      </c>
      <c r="R8" s="6" t="s">
        <v>227</v>
      </c>
      <c r="S8" s="6"/>
      <c r="T8" s="6" t="s">
        <v>212</v>
      </c>
      <c r="U8" s="6" t="s">
        <v>227</v>
      </c>
      <c r="V8" s="8" t="str">
        <f>IF(AND(E8&gt;=Config!$B$19,F8&gt;=Config!$B$14*Config!$B$20,X8&gt;=Config!$B$21),"YES","NO")</f>
        <v>YES</v>
      </c>
      <c r="W8" s="8">
        <f>Config!$B$16+(Config!$B$14*Config!$B$15)*H8</f>
        <v>78.881919999999994</v>
      </c>
      <c r="X8" s="8">
        <f t="shared" si="0"/>
        <v>71.118080000000006</v>
      </c>
      <c r="Y8" s="8">
        <f>E8/Config!$B$19</f>
        <v>5.333333333333333</v>
      </c>
      <c r="Z8" s="34">
        <f>F8/(Config!$B$14*Config!$B$20)</f>
        <v>7.782101167315175</v>
      </c>
    </row>
    <row r="9" spans="1:26" ht="30">
      <c r="A9" s="28" t="s">
        <v>228</v>
      </c>
      <c r="B9" s="6" t="s">
        <v>115</v>
      </c>
      <c r="C9" s="6" t="s">
        <v>220</v>
      </c>
      <c r="D9" s="6" t="s">
        <v>207</v>
      </c>
      <c r="E9" s="31">
        <v>800</v>
      </c>
      <c r="F9" s="31">
        <v>1.5</v>
      </c>
      <c r="G9" s="31">
        <v>35</v>
      </c>
      <c r="H9" s="31">
        <v>3.57</v>
      </c>
      <c r="I9" s="31">
        <v>150</v>
      </c>
      <c r="J9" s="31">
        <v>425</v>
      </c>
      <c r="K9" s="31">
        <v>45</v>
      </c>
      <c r="L9" s="31">
        <v>5.5</v>
      </c>
      <c r="M9" s="31">
        <v>12</v>
      </c>
      <c r="N9" s="31">
        <v>6</v>
      </c>
      <c r="O9" s="8" t="s">
        <v>208</v>
      </c>
      <c r="P9" s="8" t="s">
        <v>209</v>
      </c>
      <c r="Q9" s="6" t="s">
        <v>229</v>
      </c>
      <c r="R9" s="6" t="s">
        <v>230</v>
      </c>
      <c r="S9" s="6"/>
      <c r="T9" s="6" t="s">
        <v>231</v>
      </c>
      <c r="U9" s="6" t="s">
        <v>232</v>
      </c>
      <c r="V9" s="8" t="str">
        <f>IF(AND(E9&gt;=Config!$B$19,F9&gt;=Config!$B$14*Config!$B$20,X9&gt;=Config!$B$21),"YES","NO")</f>
        <v>YES</v>
      </c>
      <c r="W9" s="8">
        <f>Config!$B$16+(Config!$B$14*Config!$B$15)*H9</f>
        <v>79.908891999999994</v>
      </c>
      <c r="X9" s="8">
        <f t="shared" si="0"/>
        <v>70.091108000000006</v>
      </c>
      <c r="Y9" s="8">
        <f>E9/Config!$B$19</f>
        <v>5.333333333333333</v>
      </c>
      <c r="Z9" s="34">
        <f>F9/(Config!$B$14*Config!$B$20)</f>
        <v>3.8910505836575875</v>
      </c>
    </row>
    <row r="10" spans="1:26" ht="30">
      <c r="A10" s="28" t="s">
        <v>175</v>
      </c>
      <c r="B10" s="6" t="s">
        <v>115</v>
      </c>
      <c r="C10" s="6" t="s">
        <v>220</v>
      </c>
      <c r="D10" s="6" t="s">
        <v>207</v>
      </c>
      <c r="E10" s="31">
        <v>900</v>
      </c>
      <c r="F10" s="31">
        <v>4</v>
      </c>
      <c r="G10" s="31">
        <v>47</v>
      </c>
      <c r="H10" s="31">
        <v>2.66</v>
      </c>
      <c r="I10" s="31">
        <v>150</v>
      </c>
      <c r="J10" s="31">
        <v>740</v>
      </c>
      <c r="K10" s="31">
        <v>65</v>
      </c>
      <c r="L10" s="31">
        <v>5.6</v>
      </c>
      <c r="M10" s="31">
        <v>17</v>
      </c>
      <c r="N10" s="31">
        <v>7.5</v>
      </c>
      <c r="O10" s="8" t="s">
        <v>208</v>
      </c>
      <c r="P10" s="8" t="s">
        <v>209</v>
      </c>
      <c r="Q10" s="6" t="s">
        <v>233</v>
      </c>
      <c r="R10" s="6" t="s">
        <v>230</v>
      </c>
      <c r="S10" s="6"/>
      <c r="T10" s="6" t="s">
        <v>212</v>
      </c>
      <c r="U10" s="6" t="s">
        <v>234</v>
      </c>
      <c r="V10" s="8" t="str">
        <f>IF(AND(E10&gt;=Config!$B$19,F10&gt;=Config!$B$14*Config!$B$20,X10&gt;=Config!$B$21),"YES","NO")</f>
        <v>YES</v>
      </c>
      <c r="W10" s="8">
        <f>Config!$B$16+(Config!$B$14*Config!$B$15)*H10</f>
        <v>77.383095999999995</v>
      </c>
      <c r="X10" s="8">
        <f t="shared" si="0"/>
        <v>72.616904000000005</v>
      </c>
      <c r="Y10" s="8">
        <f>E10/Config!$B$19</f>
        <v>6</v>
      </c>
      <c r="Z10" s="34">
        <f>F10/(Config!$B$14*Config!$B$20)</f>
        <v>10.376134889753567</v>
      </c>
    </row>
    <row r="11" spans="1:26" ht="60">
      <c r="A11" s="28" t="s">
        <v>235</v>
      </c>
      <c r="B11" s="6" t="s">
        <v>115</v>
      </c>
      <c r="C11" s="6" t="s">
        <v>220</v>
      </c>
      <c r="D11" s="6" t="s">
        <v>236</v>
      </c>
      <c r="E11" s="31">
        <v>250</v>
      </c>
      <c r="F11" s="31">
        <v>30</v>
      </c>
      <c r="G11" s="31">
        <v>170</v>
      </c>
      <c r="H11" s="31">
        <v>0.73</v>
      </c>
      <c r="I11" s="31">
        <v>150</v>
      </c>
      <c r="J11" s="31">
        <v>1450</v>
      </c>
      <c r="K11" s="31">
        <v>266</v>
      </c>
      <c r="L11" s="31">
        <v>1</v>
      </c>
      <c r="M11" s="31">
        <v>21</v>
      </c>
      <c r="N11" s="31">
        <v>6</v>
      </c>
      <c r="O11" s="8" t="s">
        <v>214</v>
      </c>
      <c r="P11" s="8" t="s">
        <v>215</v>
      </c>
      <c r="Q11" s="6" t="s">
        <v>237</v>
      </c>
      <c r="R11" s="6" t="s">
        <v>238</v>
      </c>
      <c r="S11" s="6" t="s">
        <v>239</v>
      </c>
      <c r="T11" s="6" t="s">
        <v>231</v>
      </c>
      <c r="U11" s="6" t="s">
        <v>240</v>
      </c>
      <c r="V11" s="8" t="str">
        <f>IF(AND(E11&gt;=Config!$B$19,F11&gt;=Config!$B$14*Config!$B$20,X11&gt;=Config!$B$21),"YES","NO")</f>
        <v>YES</v>
      </c>
      <c r="W11" s="8">
        <f>Config!$B$16+(Config!$B$14*Config!$B$15)*H11</f>
        <v>72.026188000000005</v>
      </c>
      <c r="X11" s="8">
        <f t="shared" si="0"/>
        <v>77.973811999999995</v>
      </c>
      <c r="Y11" s="8">
        <f>E11/Config!$B$19</f>
        <v>1.6666666666666667</v>
      </c>
      <c r="Z11" s="34">
        <f>F11/(Config!$B$14*Config!$B$20)</f>
        <v>77.821011673151745</v>
      </c>
    </row>
    <row r="12" spans="1:26" ht="60">
      <c r="A12" s="28" t="s">
        <v>241</v>
      </c>
      <c r="B12" s="6" t="s">
        <v>115</v>
      </c>
      <c r="C12" s="6" t="s">
        <v>220</v>
      </c>
      <c r="D12" s="6" t="s">
        <v>236</v>
      </c>
      <c r="E12" s="31">
        <v>250</v>
      </c>
      <c r="F12" s="31">
        <v>44</v>
      </c>
      <c r="G12" s="31">
        <v>240</v>
      </c>
      <c r="H12" s="31">
        <v>0.52</v>
      </c>
      <c r="I12" s="31">
        <v>150</v>
      </c>
      <c r="J12" s="31">
        <v>2200</v>
      </c>
      <c r="K12" s="31">
        <v>405</v>
      </c>
      <c r="L12" s="31">
        <v>1</v>
      </c>
      <c r="M12" s="31">
        <v>33</v>
      </c>
      <c r="N12" s="31">
        <v>10</v>
      </c>
      <c r="O12" s="8" t="s">
        <v>214</v>
      </c>
      <c r="P12" s="8" t="s">
        <v>215</v>
      </c>
      <c r="Q12" s="6" t="s">
        <v>242</v>
      </c>
      <c r="R12" s="6" t="s">
        <v>238</v>
      </c>
      <c r="S12" s="6" t="s">
        <v>243</v>
      </c>
      <c r="T12" s="6" t="s">
        <v>231</v>
      </c>
      <c r="U12" s="6" t="s">
        <v>240</v>
      </c>
      <c r="V12" s="8" t="str">
        <f>IF(AND(E12&gt;=Config!$B$19,F12&gt;=Config!$B$14*Config!$B$20,X12&gt;=Config!$B$21),"YES","NO")</f>
        <v>YES</v>
      </c>
      <c r="W12" s="8">
        <f>Config!$B$16+(Config!$B$14*Config!$B$15)*H12</f>
        <v>71.443312000000006</v>
      </c>
      <c r="X12" s="8">
        <f t="shared" si="0"/>
        <v>78.556687999999994</v>
      </c>
      <c r="Y12" s="8">
        <f>E12/Config!$B$19</f>
        <v>1.6666666666666667</v>
      </c>
      <c r="Z12" s="34">
        <f>F12/(Config!$B$14*Config!$B$20)</f>
        <v>114.13748378728923</v>
      </c>
    </row>
    <row r="13" spans="1:26" ht="60">
      <c r="A13" s="28" t="s">
        <v>244</v>
      </c>
      <c r="B13" s="6" t="s">
        <v>115</v>
      </c>
      <c r="C13" s="6" t="s">
        <v>220</v>
      </c>
      <c r="D13" s="6" t="s">
        <v>236</v>
      </c>
      <c r="E13" s="31">
        <v>300</v>
      </c>
      <c r="F13" s="31">
        <v>38</v>
      </c>
      <c r="G13" s="31">
        <v>240</v>
      </c>
      <c r="H13" s="31">
        <v>0.52</v>
      </c>
      <c r="I13" s="31">
        <v>150</v>
      </c>
      <c r="J13" s="31">
        <v>2240</v>
      </c>
      <c r="K13" s="31">
        <v>330</v>
      </c>
      <c r="L13" s="31">
        <v>1.3</v>
      </c>
      <c r="M13" s="31">
        <v>35</v>
      </c>
      <c r="N13" s="31">
        <v>11</v>
      </c>
      <c r="O13" s="8" t="s">
        <v>214</v>
      </c>
      <c r="P13" s="8" t="s">
        <v>215</v>
      </c>
      <c r="Q13" s="6" t="s">
        <v>245</v>
      </c>
      <c r="R13" s="6" t="s">
        <v>238</v>
      </c>
      <c r="S13" s="6" t="s">
        <v>246</v>
      </c>
      <c r="T13" s="6" t="s">
        <v>231</v>
      </c>
      <c r="U13" s="6" t="s">
        <v>240</v>
      </c>
      <c r="V13" s="8" t="str">
        <f>IF(AND(E13&gt;=Config!$B$19,F13&gt;=Config!$B$14*Config!$B$20,X13&gt;=Config!$B$21),"YES","NO")</f>
        <v>YES</v>
      </c>
      <c r="W13" s="8">
        <f>Config!$B$16+(Config!$B$14*Config!$B$15)*H13</f>
        <v>71.443312000000006</v>
      </c>
      <c r="X13" s="8">
        <f t="shared" si="0"/>
        <v>78.556687999999994</v>
      </c>
      <c r="Y13" s="8">
        <f>E13/Config!$B$19</f>
        <v>2</v>
      </c>
      <c r="Z13" s="34">
        <f>F13/(Config!$B$14*Config!$B$20)</f>
        <v>98.573281452658875</v>
      </c>
    </row>
    <row r="14" spans="1:26" ht="30">
      <c r="A14" s="28" t="s">
        <v>173</v>
      </c>
      <c r="B14" s="6" t="s">
        <v>114</v>
      </c>
      <c r="C14" s="6" t="s">
        <v>206</v>
      </c>
      <c r="D14" s="6" t="s">
        <v>247</v>
      </c>
      <c r="E14" s="31">
        <v>200</v>
      </c>
      <c r="F14" s="31">
        <v>3</v>
      </c>
      <c r="G14" s="31">
        <v>30</v>
      </c>
      <c r="H14" s="31">
        <v>4.0999999999999996</v>
      </c>
      <c r="I14" s="31">
        <v>175</v>
      </c>
      <c r="J14" s="31">
        <v>340</v>
      </c>
      <c r="K14" s="31">
        <v>110</v>
      </c>
      <c r="L14" s="31">
        <v>33</v>
      </c>
      <c r="M14" s="31">
        <v>15</v>
      </c>
      <c r="N14" s="31">
        <v>8.4</v>
      </c>
      <c r="O14" s="8" t="s">
        <v>248</v>
      </c>
      <c r="P14" s="8" t="s">
        <v>209</v>
      </c>
      <c r="Q14" s="6" t="s">
        <v>249</v>
      </c>
      <c r="R14" s="6" t="s">
        <v>250</v>
      </c>
      <c r="S14" s="6" t="s">
        <v>251</v>
      </c>
      <c r="T14" s="6" t="s">
        <v>212</v>
      </c>
      <c r="U14" s="6" t="s">
        <v>252</v>
      </c>
      <c r="V14" s="8" t="str">
        <f>IF(AND(E14&gt;=Config!$B$19,F14&gt;=Config!$B$14*Config!$B$20,X14&gt;=Config!$B$21),"YES","NO")</f>
        <v>YES</v>
      </c>
      <c r="W14" s="8">
        <f>Config!$B$16+(Config!$B$14*Config!$B$15)*H14</f>
        <v>81.379959999999997</v>
      </c>
      <c r="X14" s="8">
        <f t="shared" si="0"/>
        <v>93.620040000000003</v>
      </c>
      <c r="Y14" s="8">
        <f>E14/Config!$B$19</f>
        <v>1.3333333333333333</v>
      </c>
      <c r="Z14" s="34">
        <f>F14/(Config!$B$14*Config!$B$20)</f>
        <v>7.782101167315175</v>
      </c>
    </row>
    <row r="15" spans="1:26" ht="30">
      <c r="A15" s="28" t="s">
        <v>174</v>
      </c>
      <c r="B15" s="6" t="s">
        <v>115</v>
      </c>
      <c r="C15" s="6" t="s">
        <v>220</v>
      </c>
      <c r="D15" s="6" t="s">
        <v>247</v>
      </c>
      <c r="E15" s="31">
        <v>200</v>
      </c>
      <c r="F15" s="31">
        <v>4.0999999999999996</v>
      </c>
      <c r="G15" s="31">
        <v>30</v>
      </c>
      <c r="H15" s="31">
        <v>4.0999999999999996</v>
      </c>
      <c r="I15" s="31">
        <v>150</v>
      </c>
      <c r="J15" s="31">
        <v>260</v>
      </c>
      <c r="K15" s="31">
        <v>100</v>
      </c>
      <c r="L15" s="31">
        <v>30</v>
      </c>
      <c r="M15" s="31">
        <v>14</v>
      </c>
      <c r="N15" s="31">
        <v>7.9</v>
      </c>
      <c r="O15" s="8" t="s">
        <v>248</v>
      </c>
      <c r="P15" s="8" t="s">
        <v>209</v>
      </c>
      <c r="Q15" s="6" t="s">
        <v>253</v>
      </c>
      <c r="R15" s="6" t="s">
        <v>254</v>
      </c>
      <c r="S15" s="6" t="s">
        <v>255</v>
      </c>
      <c r="T15" s="6" t="s">
        <v>212</v>
      </c>
      <c r="U15" s="6" t="s">
        <v>252</v>
      </c>
      <c r="V15" s="8" t="str">
        <f>IF(AND(E15&gt;=Config!$B$19,F15&gt;=Config!$B$14*Config!$B$20,X15&gt;=Config!$B$21),"YES","NO")</f>
        <v>YES</v>
      </c>
      <c r="W15" s="8">
        <f>Config!$B$16+(Config!$B$14*Config!$B$15)*H15</f>
        <v>81.379959999999997</v>
      </c>
      <c r="X15" s="8">
        <f t="shared" si="0"/>
        <v>68.620040000000003</v>
      </c>
      <c r="Y15" s="8">
        <f>E15/Config!$B$19</f>
        <v>1.3333333333333333</v>
      </c>
      <c r="Z15" s="34">
        <f>F15/(Config!$B$14*Config!$B$20)</f>
        <v>10.635538261997405</v>
      </c>
    </row>
    <row r="16" spans="1:26" ht="30">
      <c r="A16" s="28" t="s">
        <v>176</v>
      </c>
      <c r="B16" s="6" t="s">
        <v>114</v>
      </c>
      <c r="C16" s="6" t="s">
        <v>206</v>
      </c>
      <c r="D16" s="6" t="s">
        <v>247</v>
      </c>
      <c r="E16" s="31">
        <v>200</v>
      </c>
      <c r="F16" s="31">
        <v>4.3</v>
      </c>
      <c r="G16" s="31">
        <v>35</v>
      </c>
      <c r="H16" s="31">
        <v>3.6</v>
      </c>
      <c r="I16" s="31">
        <v>150</v>
      </c>
      <c r="J16" s="31">
        <v>700</v>
      </c>
      <c r="K16" s="31">
        <v>200</v>
      </c>
      <c r="L16" s="31">
        <v>40</v>
      </c>
      <c r="M16" s="31">
        <v>29</v>
      </c>
      <c r="N16" s="31">
        <v>15</v>
      </c>
      <c r="O16" s="8" t="s">
        <v>248</v>
      </c>
      <c r="P16" s="8" t="s">
        <v>209</v>
      </c>
      <c r="Q16" s="6" t="s">
        <v>256</v>
      </c>
      <c r="R16" s="6" t="s">
        <v>257</v>
      </c>
      <c r="S16" s="6" t="s">
        <v>258</v>
      </c>
      <c r="T16" s="6" t="s">
        <v>212</v>
      </c>
      <c r="U16" s="6" t="s">
        <v>252</v>
      </c>
      <c r="V16" s="8" t="str">
        <f>IF(AND(E16&gt;=Config!$B$19,F16&gt;=Config!$B$14*Config!$B$20,X16&gt;=Config!$B$21),"YES","NO")</f>
        <v>YES</v>
      </c>
      <c r="W16" s="8">
        <f>Config!$B$16+(Config!$B$14*Config!$B$15)*H16</f>
        <v>79.992159999999998</v>
      </c>
      <c r="X16" s="8">
        <f t="shared" si="0"/>
        <v>70.007840000000002</v>
      </c>
      <c r="Y16" s="8">
        <f>E16/Config!$B$19</f>
        <v>1.3333333333333333</v>
      </c>
      <c r="Z16" s="34">
        <f>F16/(Config!$B$14*Config!$B$20)</f>
        <v>11.154345006485084</v>
      </c>
    </row>
    <row r="17" spans="1:26" ht="30">
      <c r="A17" s="28" t="s">
        <v>177</v>
      </c>
      <c r="B17" s="6" t="s">
        <v>115</v>
      </c>
      <c r="C17" s="6" t="s">
        <v>220</v>
      </c>
      <c r="D17" s="6" t="s">
        <v>247</v>
      </c>
      <c r="E17" s="31">
        <v>200</v>
      </c>
      <c r="F17" s="31">
        <v>5.9</v>
      </c>
      <c r="G17" s="31">
        <v>35</v>
      </c>
      <c r="H17" s="31">
        <v>3.6</v>
      </c>
      <c r="I17" s="31">
        <v>150</v>
      </c>
      <c r="J17" s="31">
        <v>800</v>
      </c>
      <c r="K17" s="31">
        <v>240</v>
      </c>
      <c r="L17" s="31">
        <v>76</v>
      </c>
      <c r="M17" s="31">
        <v>43</v>
      </c>
      <c r="N17" s="31">
        <v>23</v>
      </c>
      <c r="O17" s="8" t="s">
        <v>248</v>
      </c>
      <c r="P17" s="8" t="s">
        <v>209</v>
      </c>
      <c r="Q17" s="6" t="s">
        <v>259</v>
      </c>
      <c r="R17" s="6" t="s">
        <v>260</v>
      </c>
      <c r="S17" s="6" t="s">
        <v>261</v>
      </c>
      <c r="T17" s="6" t="s">
        <v>212</v>
      </c>
      <c r="U17" s="6" t="s">
        <v>252</v>
      </c>
      <c r="V17" s="8" t="str">
        <f>IF(AND(E17&gt;=Config!$B$19,F17&gt;=Config!$B$14*Config!$B$20,X17&gt;=Config!$B$21),"YES","NO")</f>
        <v>YES</v>
      </c>
      <c r="W17" s="8">
        <f>Config!$B$16+(Config!$B$14*Config!$B$15)*H17</f>
        <v>79.992159999999998</v>
      </c>
      <c r="X17" s="8">
        <f t="shared" si="0"/>
        <v>70.007840000000002</v>
      </c>
      <c r="Y17" s="8">
        <f>E17/Config!$B$19</f>
        <v>1.3333333333333333</v>
      </c>
      <c r="Z17" s="34">
        <f>F17/(Config!$B$14*Config!$B$20)</f>
        <v>15.304798962386512</v>
      </c>
    </row>
    <row r="18" spans="1:26" ht="30">
      <c r="A18" s="28" t="s">
        <v>262</v>
      </c>
      <c r="B18" s="6" t="s">
        <v>114</v>
      </c>
      <c r="C18" s="6" t="s">
        <v>206</v>
      </c>
      <c r="D18" s="6" t="s">
        <v>247</v>
      </c>
      <c r="E18" s="31">
        <v>200</v>
      </c>
      <c r="F18" s="31">
        <v>6.1</v>
      </c>
      <c r="G18" s="31">
        <v>40</v>
      </c>
      <c r="H18" s="31">
        <v>3.1</v>
      </c>
      <c r="I18" s="31">
        <v>150</v>
      </c>
      <c r="J18" s="31">
        <v>1200</v>
      </c>
      <c r="K18" s="31">
        <v>370</v>
      </c>
      <c r="L18" s="31">
        <v>80</v>
      </c>
      <c r="M18" s="31">
        <v>44</v>
      </c>
      <c r="N18" s="31">
        <v>27</v>
      </c>
      <c r="O18" s="8" t="s">
        <v>248</v>
      </c>
      <c r="P18" s="8" t="s">
        <v>209</v>
      </c>
      <c r="Q18" s="6" t="s">
        <v>263</v>
      </c>
      <c r="R18" s="6" t="s">
        <v>264</v>
      </c>
      <c r="S18" s="6" t="s">
        <v>265</v>
      </c>
      <c r="T18" s="6" t="s">
        <v>231</v>
      </c>
      <c r="U18" s="6" t="s">
        <v>252</v>
      </c>
      <c r="V18" s="8" t="str">
        <f>IF(AND(E18&gt;=Config!$B$19,F18&gt;=Config!$B$14*Config!$B$20,X18&gt;=Config!$B$21),"YES","NO")</f>
        <v>YES</v>
      </c>
      <c r="W18" s="8">
        <f>Config!$B$16+(Config!$B$14*Config!$B$15)*H18</f>
        <v>78.60436</v>
      </c>
      <c r="X18" s="8">
        <f t="shared" si="0"/>
        <v>71.39564</v>
      </c>
      <c r="Y18" s="8">
        <f>E18/Config!$B$19</f>
        <v>1.3333333333333333</v>
      </c>
      <c r="Z18" s="34">
        <f>F18/(Config!$B$14*Config!$B$20)</f>
        <v>15.823605706874188</v>
      </c>
    </row>
    <row r="19" spans="1:26" ht="30">
      <c r="A19" s="29" t="s">
        <v>266</v>
      </c>
      <c r="B19" s="30" t="s">
        <v>115</v>
      </c>
      <c r="C19" s="30" t="s">
        <v>220</v>
      </c>
      <c r="D19" s="30" t="s">
        <v>247</v>
      </c>
      <c r="E19" s="32">
        <v>200</v>
      </c>
      <c r="F19" s="32">
        <v>9.8000000000000007</v>
      </c>
      <c r="G19" s="32">
        <v>40</v>
      </c>
      <c r="H19" s="32">
        <v>3.1</v>
      </c>
      <c r="I19" s="32">
        <v>150</v>
      </c>
      <c r="J19" s="32">
        <v>1300</v>
      </c>
      <c r="K19" s="32">
        <v>400</v>
      </c>
      <c r="L19" s="32">
        <v>130</v>
      </c>
      <c r="M19" s="32">
        <v>70</v>
      </c>
      <c r="N19" s="32">
        <v>39</v>
      </c>
      <c r="O19" s="33" t="s">
        <v>248</v>
      </c>
      <c r="P19" s="33" t="s">
        <v>209</v>
      </c>
      <c r="Q19" s="30" t="s">
        <v>267</v>
      </c>
      <c r="R19" s="30" t="s">
        <v>268</v>
      </c>
      <c r="S19" s="30" t="s">
        <v>269</v>
      </c>
      <c r="T19" s="30" t="s">
        <v>231</v>
      </c>
      <c r="U19" s="30" t="s">
        <v>252</v>
      </c>
      <c r="V19" s="33" t="str">
        <f>IF(AND(E19&gt;=Config!$B$19,F19&gt;=Config!$B$14*Config!$B$20,X19&gt;=Config!$B$21),"YES","NO")</f>
        <v>YES</v>
      </c>
      <c r="W19" s="33">
        <f>Config!$B$16+(Config!$B$14*Config!$B$15)*H19</f>
        <v>78.60436</v>
      </c>
      <c r="X19" s="33">
        <f t="shared" si="0"/>
        <v>71.39564</v>
      </c>
      <c r="Y19" s="33">
        <f>E19/Config!$B$19</f>
        <v>1.3333333333333333</v>
      </c>
      <c r="Z19" s="35">
        <f>F19/(Config!$B$14*Config!$B$20)</f>
        <v>25.421530479896241</v>
      </c>
    </row>
  </sheetData>
  <mergeCells count="2">
    <mergeCell ref="A1:Z1"/>
    <mergeCell ref="A2:Z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baseColWidth="10" defaultColWidth="8.83203125" defaultRowHeight="14"/>
  <cols>
    <col min="1" max="1" width="8" customWidth="1"/>
    <col min="2" max="3" width="19" customWidth="1"/>
    <col min="4" max="4" width="12" customWidth="1"/>
    <col min="5" max="5" width="14" customWidth="1"/>
    <col min="6" max="6" width="58" customWidth="1"/>
    <col min="7" max="7" width="20" customWidth="1"/>
  </cols>
  <sheetData>
    <row r="1" spans="1:7" ht="88.25" customHeight="1">
      <c r="A1" s="102" t="s">
        <v>270</v>
      </c>
      <c r="B1" s="102"/>
      <c r="C1" s="102"/>
      <c r="D1" s="102"/>
      <c r="E1" s="102"/>
      <c r="F1" s="102"/>
      <c r="G1" s="102"/>
    </row>
    <row r="2" spans="1:7" ht="126.25" customHeight="1">
      <c r="A2" s="103" t="s">
        <v>271</v>
      </c>
      <c r="B2" s="103"/>
      <c r="C2" s="103"/>
      <c r="D2" s="103"/>
      <c r="E2" s="103"/>
      <c r="F2" s="103"/>
      <c r="G2" s="103"/>
    </row>
    <row r="3" spans="1:7" ht="16">
      <c r="A3" s="36" t="s">
        <v>141</v>
      </c>
      <c r="B3" s="37" t="s">
        <v>114</v>
      </c>
      <c r="C3" s="37" t="s">
        <v>115</v>
      </c>
      <c r="D3" s="37" t="s">
        <v>272</v>
      </c>
      <c r="E3" s="37" t="s">
        <v>96</v>
      </c>
      <c r="F3" s="37" t="s">
        <v>273</v>
      </c>
      <c r="G3" s="38" t="s">
        <v>127</v>
      </c>
    </row>
    <row r="4" spans="1:7" ht="15">
      <c r="A4" s="23" t="s">
        <v>128</v>
      </c>
      <c r="B4" s="3" t="s">
        <v>170</v>
      </c>
      <c r="C4" s="3" t="s">
        <v>171</v>
      </c>
      <c r="D4" s="5" t="s">
        <v>274</v>
      </c>
      <c r="E4" s="5" t="s">
        <v>275</v>
      </c>
      <c r="F4" s="3" t="s">
        <v>276</v>
      </c>
      <c r="G4" s="24" t="str">
        <f t="shared" ref="G4:G9" si="0">IF(D4="CURRENT",IF(E4="PASS","CURRENT VALIDATED",IF(E4="FAIL","CURRENT FAILED","CURRENT INCOMPLETE")),IF(D4="LEGACY",IF(E4="PASS","LEGACY EVIDENCE",IF(E4="FAIL","LEGACY FAILED","LEGACY INCOMPLETE")),"NOT VALIDATED"))</f>
        <v>LEGACY EVIDENCE</v>
      </c>
    </row>
    <row r="5" spans="1:7" ht="15">
      <c r="A5" s="23" t="s">
        <v>130</v>
      </c>
      <c r="B5" s="3" t="s">
        <v>170</v>
      </c>
      <c r="C5" s="3" t="s">
        <v>172</v>
      </c>
      <c r="D5" s="5" t="s">
        <v>277</v>
      </c>
      <c r="E5" s="5" t="s">
        <v>278</v>
      </c>
      <c r="F5" s="3" t="s">
        <v>279</v>
      </c>
      <c r="G5" s="24" t="str">
        <f t="shared" si="0"/>
        <v>NOT VALIDATED</v>
      </c>
    </row>
    <row r="6" spans="1:7" ht="15">
      <c r="A6" s="23" t="s">
        <v>132</v>
      </c>
      <c r="B6" s="3" t="s">
        <v>173</v>
      </c>
      <c r="C6" s="3" t="s">
        <v>174</v>
      </c>
      <c r="D6" s="5" t="s">
        <v>277</v>
      </c>
      <c r="E6" s="5" t="s">
        <v>278</v>
      </c>
      <c r="F6" s="3" t="s">
        <v>280</v>
      </c>
      <c r="G6" s="24" t="str">
        <f t="shared" si="0"/>
        <v>NOT VALIDATED</v>
      </c>
    </row>
    <row r="7" spans="1:7" ht="15">
      <c r="A7" s="23" t="s">
        <v>134</v>
      </c>
      <c r="B7" s="3" t="s">
        <v>170</v>
      </c>
      <c r="C7" s="3" t="s">
        <v>175</v>
      </c>
      <c r="D7" s="5" t="s">
        <v>277</v>
      </c>
      <c r="E7" s="5" t="s">
        <v>278</v>
      </c>
      <c r="F7" s="3" t="s">
        <v>281</v>
      </c>
      <c r="G7" s="24" t="str">
        <f t="shared" si="0"/>
        <v>NOT VALIDATED</v>
      </c>
    </row>
    <row r="8" spans="1:7" ht="15">
      <c r="A8" s="23" t="s">
        <v>136</v>
      </c>
      <c r="B8" s="3" t="s">
        <v>176</v>
      </c>
      <c r="C8" s="3" t="s">
        <v>177</v>
      </c>
      <c r="D8" s="5" t="s">
        <v>277</v>
      </c>
      <c r="E8" s="5" t="s">
        <v>278</v>
      </c>
      <c r="F8" s="3" t="s">
        <v>282</v>
      </c>
      <c r="G8" s="24" t="str">
        <f t="shared" si="0"/>
        <v>NOT VALIDATED</v>
      </c>
    </row>
    <row r="9" spans="1:7" ht="15">
      <c r="A9" s="25" t="s">
        <v>138</v>
      </c>
      <c r="B9" s="26" t="s">
        <v>178</v>
      </c>
      <c r="C9" s="26" t="s">
        <v>179</v>
      </c>
      <c r="D9" s="39" t="s">
        <v>274</v>
      </c>
      <c r="E9" s="39" t="s">
        <v>275</v>
      </c>
      <c r="F9" s="26" t="s">
        <v>283</v>
      </c>
      <c r="G9" s="27" t="str">
        <f t="shared" si="0"/>
        <v>LEGACY EVIDENCE</v>
      </c>
    </row>
  </sheetData>
  <mergeCells count="2">
    <mergeCell ref="A1:G1"/>
    <mergeCell ref="A2:G2"/>
  </mergeCells>
  <dataValidations count="2">
    <dataValidation type="list" sqref="D4:D9" xr:uid="{00000000-0002-0000-0400-000000000000}">
      <formula1>"NONE,LEGACY,CURRENT"</formula1>
    </dataValidation>
    <dataValidation type="list" sqref="E4:E9" xr:uid="{00000000-0002-0000-0400-000001000000}">
      <formula1>"NOT TESTED,PASS,FAIL"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"/>
  <sheetViews>
    <sheetView workbookViewId="0"/>
  </sheetViews>
  <sheetFormatPr baseColWidth="10" defaultColWidth="8.83203125" defaultRowHeight="14"/>
  <cols>
    <col min="1" max="1" width="13" customWidth="1"/>
    <col min="2" max="3" width="48" customWidth="1"/>
    <col min="4" max="4" width="56" customWidth="1"/>
    <col min="5" max="9" width="3" customWidth="1"/>
    <col min="10" max="10" width="34" customWidth="1"/>
    <col min="11" max="11" width="10" customWidth="1"/>
  </cols>
  <sheetData>
    <row r="1" spans="1:11" ht="16">
      <c r="A1" s="104" t="s">
        <v>284</v>
      </c>
      <c r="B1" s="104"/>
      <c r="C1" s="104"/>
      <c r="D1" s="104"/>
      <c r="E1" s="1"/>
      <c r="F1" s="1"/>
      <c r="G1" s="1"/>
      <c r="H1" s="1"/>
      <c r="I1" s="1"/>
      <c r="J1" s="2" t="s">
        <v>285</v>
      </c>
      <c r="K1" s="2" t="s">
        <v>90</v>
      </c>
    </row>
    <row r="2" spans="1:11" ht="15">
      <c r="A2" s="1"/>
      <c r="B2" s="1"/>
      <c r="C2" s="1"/>
      <c r="D2" s="1"/>
      <c r="E2" s="1"/>
      <c r="F2" s="1"/>
      <c r="G2" s="1"/>
      <c r="H2" s="1"/>
      <c r="I2" s="1"/>
      <c r="J2" s="1" t="s">
        <v>89</v>
      </c>
      <c r="K2" s="1" t="s">
        <v>128</v>
      </c>
    </row>
    <row r="3" spans="1:11" ht="16">
      <c r="A3" s="16" t="s">
        <v>286</v>
      </c>
      <c r="B3" s="16" t="s">
        <v>287</v>
      </c>
      <c r="C3" s="16" t="s">
        <v>288</v>
      </c>
      <c r="D3" s="16" t="s">
        <v>289</v>
      </c>
      <c r="E3" s="1"/>
      <c r="F3" s="1"/>
      <c r="G3" s="1"/>
      <c r="H3" s="1"/>
      <c r="I3" s="1"/>
      <c r="J3" s="1" t="s">
        <v>129</v>
      </c>
      <c r="K3" s="1" t="s">
        <v>130</v>
      </c>
    </row>
    <row r="4" spans="1:11" ht="30">
      <c r="A4" s="1">
        <v>1</v>
      </c>
      <c r="B4" s="1" t="s">
        <v>290</v>
      </c>
      <c r="C4" s="1" t="s">
        <v>291</v>
      </c>
      <c r="D4" s="1" t="s">
        <v>292</v>
      </c>
      <c r="E4" s="1"/>
      <c r="F4" s="1"/>
      <c r="G4" s="1"/>
      <c r="H4" s="1"/>
      <c r="I4" s="1"/>
      <c r="J4" s="1" t="s">
        <v>131</v>
      </c>
      <c r="K4" s="1" t="s">
        <v>132</v>
      </c>
    </row>
    <row r="5" spans="1:11" ht="30">
      <c r="A5" s="1">
        <v>2</v>
      </c>
      <c r="B5" s="1" t="s">
        <v>293</v>
      </c>
      <c r="C5" s="1" t="s">
        <v>294</v>
      </c>
      <c r="D5" s="1" t="s">
        <v>295</v>
      </c>
      <c r="E5" s="1"/>
      <c r="F5" s="1"/>
      <c r="G5" s="1"/>
      <c r="H5" s="1"/>
      <c r="I5" s="1"/>
      <c r="J5" s="1" t="s">
        <v>133</v>
      </c>
      <c r="K5" s="1" t="s">
        <v>134</v>
      </c>
    </row>
    <row r="6" spans="1:11" ht="30">
      <c r="A6" s="1">
        <v>3</v>
      </c>
      <c r="B6" s="1" t="s">
        <v>296</v>
      </c>
      <c r="C6" s="1" t="s">
        <v>297</v>
      </c>
      <c r="D6" s="1" t="s">
        <v>298</v>
      </c>
      <c r="E6" s="1"/>
      <c r="F6" s="1"/>
      <c r="G6" s="1"/>
      <c r="H6" s="1"/>
      <c r="I6" s="1"/>
      <c r="J6" s="1" t="s">
        <v>135</v>
      </c>
      <c r="K6" s="1" t="s">
        <v>136</v>
      </c>
    </row>
    <row r="7" spans="1:11" ht="30">
      <c r="A7" s="1">
        <v>4</v>
      </c>
      <c r="B7" s="1" t="s">
        <v>299</v>
      </c>
      <c r="C7" s="1" t="s">
        <v>300</v>
      </c>
      <c r="D7" s="1" t="s">
        <v>301</v>
      </c>
      <c r="E7" s="1"/>
      <c r="F7" s="1"/>
      <c r="G7" s="1"/>
      <c r="H7" s="1"/>
      <c r="I7" s="1"/>
      <c r="J7" s="1" t="s">
        <v>137</v>
      </c>
      <c r="K7" s="1" t="s">
        <v>138</v>
      </c>
    </row>
    <row r="8" spans="1:11" ht="30">
      <c r="A8" s="1">
        <v>5</v>
      </c>
      <c r="B8" s="1" t="s">
        <v>302</v>
      </c>
      <c r="C8" s="1" t="s">
        <v>303</v>
      </c>
      <c r="D8" s="1" t="s">
        <v>304</v>
      </c>
      <c r="E8" s="1"/>
      <c r="F8" s="1"/>
      <c r="G8" s="1"/>
      <c r="H8" s="1"/>
      <c r="I8" s="1"/>
      <c r="J8" s="1"/>
      <c r="K8" s="1"/>
    </row>
    <row r="9" spans="1:11" ht="30">
      <c r="A9" s="1">
        <v>6</v>
      </c>
      <c r="B9" s="1" t="s">
        <v>305</v>
      </c>
      <c r="C9" s="1" t="s">
        <v>306</v>
      </c>
      <c r="D9" s="1" t="s">
        <v>307</v>
      </c>
      <c r="E9" s="1"/>
      <c r="F9" s="1"/>
      <c r="G9" s="1"/>
      <c r="H9" s="1"/>
      <c r="I9" s="1"/>
      <c r="J9" s="1"/>
      <c r="K9" s="1"/>
    </row>
    <row r="10" spans="1:11" ht="30">
      <c r="A10" s="1">
        <v>7</v>
      </c>
      <c r="B10" s="1" t="s">
        <v>308</v>
      </c>
      <c r="C10" s="1" t="s">
        <v>309</v>
      </c>
      <c r="D10" s="1" t="s">
        <v>310</v>
      </c>
      <c r="E10" s="1"/>
      <c r="F10" s="1"/>
      <c r="G10" s="1"/>
      <c r="H10" s="1"/>
      <c r="I10" s="1"/>
      <c r="J10" s="1"/>
      <c r="K10" s="1"/>
    </row>
    <row r="11" spans="1:11" ht="30">
      <c r="A11" s="1">
        <v>8</v>
      </c>
      <c r="B11" s="1" t="s">
        <v>311</v>
      </c>
      <c r="C11" s="1" t="s">
        <v>312</v>
      </c>
      <c r="D11" s="1" t="s">
        <v>313</v>
      </c>
      <c r="E11" s="1"/>
      <c r="F11" s="1"/>
      <c r="G11" s="1"/>
      <c r="H11" s="1"/>
      <c r="I11" s="1"/>
      <c r="J11" s="1"/>
      <c r="K11" s="1"/>
    </row>
    <row r="12" spans="1:11" ht="45">
      <c r="A12" s="1">
        <v>9</v>
      </c>
      <c r="B12" s="1" t="s">
        <v>386</v>
      </c>
      <c r="C12" s="1" t="s">
        <v>314</v>
      </c>
      <c r="D12" s="1" t="s">
        <v>387</v>
      </c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76" customHeight="1">
      <c r="A14" s="94" t="s">
        <v>315</v>
      </c>
      <c r="B14" s="94"/>
      <c r="C14" s="94"/>
      <c r="D14" s="94"/>
      <c r="E14" s="1"/>
      <c r="F14" s="1"/>
      <c r="G14" s="1"/>
      <c r="H14" s="1"/>
      <c r="I14" s="1"/>
      <c r="J14" s="1"/>
      <c r="K14" s="1"/>
    </row>
    <row r="15" spans="1:11" ht="16">
      <c r="A15" s="2" t="s">
        <v>316</v>
      </c>
      <c r="B15" s="2" t="s">
        <v>317</v>
      </c>
      <c r="C15" s="2" t="s">
        <v>318</v>
      </c>
      <c r="D15" s="2" t="s">
        <v>38</v>
      </c>
      <c r="E15" s="1"/>
      <c r="F15" s="1"/>
      <c r="G15" s="1"/>
      <c r="H15" s="1"/>
      <c r="I15" s="1"/>
      <c r="J15" s="1"/>
      <c r="K15" s="1"/>
    </row>
    <row r="16" spans="1:11" ht="45">
      <c r="A16" s="1" t="s">
        <v>319</v>
      </c>
      <c r="B16" s="1" t="s">
        <v>320</v>
      </c>
      <c r="C16" s="1" t="s">
        <v>321</v>
      </c>
      <c r="D16" s="1" t="s">
        <v>322</v>
      </c>
      <c r="E16" s="1"/>
      <c r="F16" s="1"/>
      <c r="G16" s="1"/>
      <c r="H16" s="1"/>
      <c r="I16" s="1"/>
      <c r="J16" s="1"/>
      <c r="K16" s="1"/>
    </row>
    <row r="17" spans="1:11" ht="15">
      <c r="A17" s="1" t="s">
        <v>207</v>
      </c>
      <c r="B17" s="1" t="s">
        <v>323</v>
      </c>
      <c r="C17" s="1" t="s">
        <v>324</v>
      </c>
      <c r="D17" s="1" t="s">
        <v>325</v>
      </c>
      <c r="E17" s="1"/>
      <c r="F17" s="1"/>
      <c r="G17" s="1"/>
      <c r="H17" s="1"/>
      <c r="I17" s="1"/>
      <c r="J17" s="1"/>
      <c r="K17" s="1"/>
    </row>
    <row r="18" spans="1:11" ht="15">
      <c r="A18" s="1" t="s">
        <v>247</v>
      </c>
      <c r="B18" s="1" t="s">
        <v>323</v>
      </c>
      <c r="C18" s="1" t="s">
        <v>324</v>
      </c>
      <c r="D18" s="1" t="s">
        <v>326</v>
      </c>
      <c r="E18" s="1"/>
      <c r="F18" s="1"/>
      <c r="G18" s="1"/>
      <c r="H18" s="1"/>
      <c r="I18" s="1"/>
      <c r="J18" s="1"/>
      <c r="K18" s="1"/>
    </row>
    <row r="19" spans="1:11" ht="30">
      <c r="A19" s="1" t="s">
        <v>236</v>
      </c>
      <c r="B19" s="1" t="s">
        <v>323</v>
      </c>
      <c r="C19" s="1" t="s">
        <v>324</v>
      </c>
      <c r="D19" s="1" t="s">
        <v>327</v>
      </c>
      <c r="E19" s="1"/>
      <c r="F19" s="1"/>
      <c r="G19" s="1"/>
      <c r="H19" s="1"/>
      <c r="I19" s="1"/>
      <c r="J19" s="1"/>
      <c r="K19" s="1"/>
    </row>
    <row r="20" spans="1:11" ht="30">
      <c r="A20" s="1" t="s">
        <v>328</v>
      </c>
      <c r="B20" s="1" t="s">
        <v>320</v>
      </c>
      <c r="C20" s="1" t="s">
        <v>329</v>
      </c>
      <c r="D20" s="1" t="s">
        <v>330</v>
      </c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76" customHeight="1">
      <c r="A22" s="94" t="s">
        <v>331</v>
      </c>
      <c r="B22" s="94"/>
      <c r="C22" s="94"/>
      <c r="D22" s="94"/>
      <c r="E22" s="1"/>
      <c r="F22" s="1"/>
      <c r="G22" s="1"/>
      <c r="H22" s="1"/>
      <c r="I22" s="1"/>
      <c r="J22" s="1"/>
      <c r="K22" s="1"/>
    </row>
    <row r="23" spans="1:11" ht="30">
      <c r="A23" s="1" t="s">
        <v>332</v>
      </c>
      <c r="B23" s="1" t="s">
        <v>333</v>
      </c>
      <c r="C23" s="1" t="s">
        <v>334</v>
      </c>
      <c r="D23" s="1" t="s">
        <v>335</v>
      </c>
      <c r="E23" s="1"/>
      <c r="F23" s="1"/>
      <c r="G23" s="1"/>
      <c r="H23" s="1"/>
      <c r="I23" s="1"/>
      <c r="J23" s="1"/>
      <c r="K23" s="1"/>
    </row>
    <row r="24" spans="1:11" ht="15">
      <c r="A24" s="1" t="s">
        <v>336</v>
      </c>
      <c r="B24" s="1" t="s">
        <v>337</v>
      </c>
      <c r="C24" s="1" t="s">
        <v>338</v>
      </c>
      <c r="D24" s="1" t="s">
        <v>339</v>
      </c>
      <c r="E24" s="1"/>
      <c r="F24" s="1"/>
      <c r="G24" s="1"/>
      <c r="H24" s="1"/>
      <c r="I24" s="1"/>
      <c r="J24" s="1"/>
      <c r="K24" s="1"/>
    </row>
    <row r="25" spans="1:11" ht="15">
      <c r="A25" s="1" t="s">
        <v>340</v>
      </c>
      <c r="B25" s="1" t="s">
        <v>341</v>
      </c>
      <c r="C25" s="1" t="s">
        <v>342</v>
      </c>
      <c r="D25" s="1" t="s">
        <v>343</v>
      </c>
      <c r="E25" s="1"/>
      <c r="F25" s="1"/>
      <c r="G25" s="1"/>
      <c r="H25" s="1"/>
      <c r="I25" s="1"/>
      <c r="J25" s="1"/>
      <c r="K25" s="1"/>
    </row>
    <row r="26" spans="1:11" ht="30">
      <c r="A26" s="1" t="s">
        <v>272</v>
      </c>
      <c r="B26" s="1" t="s">
        <v>344</v>
      </c>
      <c r="C26" s="1" t="s">
        <v>388</v>
      </c>
      <c r="D26" s="1" t="s">
        <v>389</v>
      </c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99.75" customHeight="1">
      <c r="A28" s="1" t="s">
        <v>345</v>
      </c>
      <c r="B28" s="1" t="s">
        <v>346</v>
      </c>
      <c r="C28" s="1" t="s">
        <v>347</v>
      </c>
      <c r="D28" s="1" t="s">
        <v>348</v>
      </c>
      <c r="E28" s="1"/>
      <c r="F28" s="1"/>
      <c r="G28" s="1"/>
      <c r="H28" s="1"/>
      <c r="I28" s="1"/>
      <c r="J28" s="1"/>
      <c r="K28" s="1"/>
    </row>
    <row r="29" spans="1:11" ht="94.75" customHeight="1">
      <c r="A29" s="1" t="s">
        <v>349</v>
      </c>
      <c r="B29" s="1" t="s">
        <v>350</v>
      </c>
      <c r="C29" s="1" t="s">
        <v>351</v>
      </c>
      <c r="D29" s="1" t="s">
        <v>352</v>
      </c>
      <c r="E29" s="1"/>
      <c r="F29" s="1"/>
      <c r="G29" s="1"/>
      <c r="H29" s="1"/>
      <c r="I29" s="1"/>
      <c r="J29" s="1"/>
      <c r="K29" s="1"/>
    </row>
    <row r="30" spans="1:11" ht="94.75" customHeight="1">
      <c r="A30" s="1" t="s">
        <v>353</v>
      </c>
      <c r="B30" s="1" t="s">
        <v>354</v>
      </c>
      <c r="C30" s="1" t="s">
        <v>355</v>
      </c>
      <c r="D30" s="1" t="s">
        <v>348</v>
      </c>
      <c r="E30" s="1"/>
      <c r="F30" s="1"/>
      <c r="G30" s="1"/>
      <c r="H30" s="1"/>
      <c r="I30" s="1"/>
      <c r="J30" s="1"/>
      <c r="K30" s="1"/>
    </row>
    <row r="31" spans="1:11" ht="71" customHeight="1">
      <c r="A31" s="1" t="s">
        <v>356</v>
      </c>
      <c r="B31" s="1" t="s">
        <v>357</v>
      </c>
      <c r="C31" s="1" t="s">
        <v>358</v>
      </c>
      <c r="D31" s="1" t="s">
        <v>348</v>
      </c>
    </row>
    <row r="32" spans="1:11" ht="71" customHeight="1">
      <c r="A32" s="1" t="s">
        <v>359</v>
      </c>
      <c r="B32" s="1" t="s">
        <v>360</v>
      </c>
      <c r="C32" s="1" t="s">
        <v>361</v>
      </c>
      <c r="D32" s="1" t="s">
        <v>362</v>
      </c>
    </row>
    <row r="33" spans="1:4" ht="61.25" customHeight="1">
      <c r="A33" s="1" t="s">
        <v>390</v>
      </c>
      <c r="B33" s="1" t="s">
        <v>391</v>
      </c>
      <c r="C33" s="1" t="s">
        <v>392</v>
      </c>
      <c r="D33" s="1" t="s">
        <v>393</v>
      </c>
    </row>
    <row r="34" spans="1:4" ht="72" customHeight="1">
      <c r="A34" s="1" t="s">
        <v>394</v>
      </c>
      <c r="B34" s="1" t="s">
        <v>395</v>
      </c>
      <c r="C34" s="1" t="s">
        <v>396</v>
      </c>
      <c r="D34" s="1" t="s">
        <v>397</v>
      </c>
    </row>
    <row r="35" spans="1:4" ht="77.25" customHeight="1">
      <c r="A35" s="1" t="s">
        <v>376</v>
      </c>
      <c r="B35" s="1" t="s">
        <v>398</v>
      </c>
      <c r="C35" s="1" t="s">
        <v>399</v>
      </c>
      <c r="D35" s="1" t="s">
        <v>400</v>
      </c>
    </row>
  </sheetData>
  <mergeCells count="3">
    <mergeCell ref="A1:D1"/>
    <mergeCell ref="A14:D14"/>
    <mergeCell ref="A22:D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"/>
  <sheetViews>
    <sheetView tabSelected="1" workbookViewId="0">
      <pane ySplit="5" topLeftCell="A6" activePane="bottomLeft" state="frozen"/>
      <selection pane="bottomLeft" activeCell="I24" sqref="I24"/>
    </sheetView>
  </sheetViews>
  <sheetFormatPr baseColWidth="10" defaultColWidth="8.83203125" defaultRowHeight="14"/>
  <cols>
    <col min="1" max="1" width="5.5" customWidth="1"/>
    <col min="2" max="2" width="8" customWidth="1"/>
    <col min="3" max="3" width="16.1640625" customWidth="1"/>
    <col min="4" max="4" width="15.1640625" customWidth="1"/>
    <col min="5" max="5" width="12.83203125" customWidth="1"/>
    <col min="6" max="6" width="12" customWidth="1"/>
    <col min="7" max="7" width="13" customWidth="1"/>
    <col min="8" max="8" width="9.83203125" customWidth="1"/>
    <col min="9" max="9" width="15.33203125" customWidth="1"/>
    <col min="10" max="10" width="12" customWidth="1"/>
    <col min="11" max="11" width="41" customWidth="1"/>
    <col min="12" max="12" width="13.33203125" customWidth="1"/>
  </cols>
  <sheetData>
    <row r="1" spans="1:11" ht="30" customHeight="1">
      <c r="A1" s="108" t="s">
        <v>363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1" ht="15">
      <c r="A2" s="105" t="s">
        <v>364</v>
      </c>
      <c r="B2" s="105"/>
      <c r="C2" s="106" t="s">
        <v>365</v>
      </c>
      <c r="D2" s="106"/>
      <c r="E2" s="107" t="s">
        <v>366</v>
      </c>
      <c r="F2" s="107"/>
      <c r="G2" s="78">
        <v>6</v>
      </c>
      <c r="H2" s="79" t="s">
        <v>85</v>
      </c>
      <c r="I2" s="80" t="s">
        <v>376</v>
      </c>
      <c r="J2" s="79" t="s">
        <v>86</v>
      </c>
      <c r="K2" s="89">
        <v>46304</v>
      </c>
    </row>
    <row r="3" spans="1:11" ht="40" customHeight="1">
      <c r="A3" s="103" t="s">
        <v>367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</row>
    <row r="5" spans="1:11" ht="36" customHeight="1">
      <c r="A5" s="81" t="s">
        <v>368</v>
      </c>
      <c r="B5" s="81" t="s">
        <v>141</v>
      </c>
      <c r="C5" s="81" t="s">
        <v>369</v>
      </c>
      <c r="D5" s="81" t="s">
        <v>370</v>
      </c>
      <c r="E5" s="81" t="s">
        <v>371</v>
      </c>
      <c r="F5" s="81" t="s">
        <v>372</v>
      </c>
      <c r="G5" s="82" t="s">
        <v>373</v>
      </c>
      <c r="H5" s="81" t="s">
        <v>108</v>
      </c>
      <c r="I5" s="81" t="s">
        <v>374</v>
      </c>
      <c r="J5" s="81" t="s">
        <v>379</v>
      </c>
      <c r="K5" s="81" t="s">
        <v>127</v>
      </c>
    </row>
    <row r="6" spans="1:11" ht="22" customHeight="1">
      <c r="A6" s="83">
        <v>1</v>
      </c>
      <c r="B6" s="83" t="s">
        <v>128</v>
      </c>
      <c r="C6" s="84" t="str">
        <f>VLOOKUP(B6,Calculations!$A$5:$AM$10,2,FALSE)</f>
        <v>FQPF7P20</v>
      </c>
      <c r="D6" s="84" t="str">
        <f>VLOOKUP(B6,Calculations!$A$5:$AM$10,3,FALSE)</f>
        <v>FQPF3N80C</v>
      </c>
      <c r="E6" s="85">
        <f>VLOOKUP(B6,Calculations!$A$5:$AM$10,28,FALSE)</f>
        <v>1.0000000000000002</v>
      </c>
      <c r="F6" s="85">
        <f>VLOOKUP(B6,Calculations!$A$5:$AM$10,29,FALSE)</f>
        <v>1.0000000000000002</v>
      </c>
      <c r="G6" s="85">
        <f>VLOOKUP(B6,Calculations!$A$5:$AM$10,34,FALSE)</f>
        <v>8.6556169429097454E-2</v>
      </c>
      <c r="H6" s="85">
        <f>VLOOKUP(B6,Calculations!$A$5:$AM$10,35,FALSE)</f>
        <v>0.83844781445138261</v>
      </c>
      <c r="I6" s="85">
        <f>VLOOKUP(B6,Calculations!$A$5:$AM$10,36,FALSE)</f>
        <v>0.96768956289027686</v>
      </c>
      <c r="J6" s="83" t="str">
        <f>VLOOKUP(B6,Calculations!$A$5:$AM$10,5,FALSE)</f>
        <v>TESTED</v>
      </c>
      <c r="K6" s="83" t="str">
        <f>VLOOKUP(B6,Calculations!$A$5:$AM$10,39,FALSE)</f>
        <v>VALIDATED</v>
      </c>
    </row>
    <row r="7" spans="1:11" ht="22" customHeight="1">
      <c r="A7" s="83">
        <v>2</v>
      </c>
      <c r="B7" s="83" t="s">
        <v>130</v>
      </c>
      <c r="C7" s="84" t="str">
        <f>VLOOKUP(B7,Calculations!$A$5:$AM$10,2,FALSE)</f>
        <v>FQPF7P20</v>
      </c>
      <c r="D7" s="84" t="str">
        <f>VLOOKUP(B7,Calculations!$A$5:$AM$10,3,FALSE)</f>
        <v>FQP3N80C</v>
      </c>
      <c r="E7" s="85">
        <f>VLOOKUP(B7,Calculations!$A$5:$AM$10,28,FALSE)</f>
        <v>1.0000000000000002</v>
      </c>
      <c r="F7" s="85">
        <f>VLOOKUP(B7,Calculations!$A$5:$AM$10,29,FALSE)</f>
        <v>0.9900000000000001</v>
      </c>
      <c r="G7" s="85">
        <f>VLOOKUP(B7,Calculations!$A$5:$AM$10,34,FALSE)</f>
        <v>8.6556169429097454E-2</v>
      </c>
      <c r="H7" s="85">
        <f>VLOOKUP(B7,Calculations!$A$5:$AM$10,35,FALSE)</f>
        <v>0.83844781445138261</v>
      </c>
      <c r="I7" s="85">
        <f>VLOOKUP(B7,Calculations!$A$5:$AM$10,36,FALSE)</f>
        <v>0.95968956289027663</v>
      </c>
      <c r="J7" s="83" t="str">
        <f>VLOOKUP(B7,Calculations!$A$5:$AM$10,5,FALSE)</f>
        <v>NOT TESTED</v>
      </c>
      <c r="K7" s="83" t="str">
        <f>VLOOKUP(B7,Calculations!$A$5:$AM$10,39,FALSE)</f>
        <v>WAITING VALIDATION</v>
      </c>
    </row>
    <row r="8" spans="1:11" ht="22" customHeight="1">
      <c r="A8" s="83">
        <v>3</v>
      </c>
      <c r="B8" s="83" t="s">
        <v>132</v>
      </c>
      <c r="C8" s="84" t="str">
        <f>VLOOKUP(B8,Calculations!$A$5:$AM$10,2,FALSE)</f>
        <v>IRFI9620GPBF</v>
      </c>
      <c r="D8" s="84" t="str">
        <f>VLOOKUP(B8,Calculations!$A$5:$AM$10,3,FALSE)</f>
        <v>IRFI620GPBF</v>
      </c>
      <c r="E8" s="85">
        <f>VLOOKUP(B8,Calculations!$A$5:$AM$10,28,FALSE)</f>
        <v>0.98787878787878791</v>
      </c>
      <c r="F8" s="85">
        <f>VLOOKUP(B8,Calculations!$A$5:$AM$10,29,FALSE)</f>
        <v>0.89887010247136823</v>
      </c>
      <c r="G8" s="85">
        <f>VLOOKUP(B8,Calculations!$A$5:$AM$10,34,FALSE)</f>
        <v>0.30769230769230771</v>
      </c>
      <c r="H8" s="85">
        <f>VLOOKUP(B8,Calculations!$A$5:$AM$10,35,FALSE)</f>
        <v>0.81636554621848734</v>
      </c>
      <c r="I8" s="85">
        <f>VLOOKUP(B8,Calculations!$A$5:$AM$10,36,FALSE)</f>
        <v>0.88236919122079205</v>
      </c>
      <c r="J8" s="83" t="str">
        <f>VLOOKUP(B8,Calculations!$A$5:$AM$10,5,FALSE)</f>
        <v>NOT TESTED</v>
      </c>
      <c r="K8" s="83" t="str">
        <f>VLOOKUP(B8,Calculations!$A$5:$AM$10,39,FALSE)</f>
        <v>WAITING VALIDATION</v>
      </c>
    </row>
    <row r="9" spans="1:11" ht="22" customHeight="1">
      <c r="A9" s="83">
        <v>4</v>
      </c>
      <c r="B9" s="83" t="s">
        <v>134</v>
      </c>
      <c r="C9" s="84" t="str">
        <f>VLOOKUP(B9,Calculations!$A$5:$AM$10,2,FALSE)</f>
        <v>FQPF7P20</v>
      </c>
      <c r="D9" s="84" t="str">
        <f>VLOOKUP(B9,Calculations!$A$5:$AM$10,3,FALSE)</f>
        <v>FQPF4N90C</v>
      </c>
      <c r="E9" s="85">
        <f>VLOOKUP(B9,Calculations!$A$5:$AM$10,28,FALSE)</f>
        <v>1.0000000000000002</v>
      </c>
      <c r="F9" s="85">
        <f>VLOOKUP(B9,Calculations!$A$5:$AM$10,29,FALSE)</f>
        <v>0.83950914440620317</v>
      </c>
      <c r="G9" s="85">
        <f>VLOOKUP(B9,Calculations!$A$5:$AM$10,34,FALSE)</f>
        <v>0.25423728813559321</v>
      </c>
      <c r="H9" s="85">
        <f>VLOOKUP(B9,Calculations!$A$5:$AM$10,35,FALSE)</f>
        <v>0.8107396870554765</v>
      </c>
      <c r="I9" s="85">
        <f>VLOOKUP(B9,Calculations!$A$5:$AM$10,36,FALSE)</f>
        <v>0.8337552529360579</v>
      </c>
      <c r="J9" s="83" t="str">
        <f>VLOOKUP(B9,Calculations!$A$5:$AM$10,5,FALSE)</f>
        <v>TESTED</v>
      </c>
      <c r="K9" s="83" t="str">
        <f>VLOOKUP(B9,Calculations!$A$5:$AM$10,39,FALSE)</f>
        <v>WAITING VALIDATION</v>
      </c>
    </row>
    <row r="10" spans="1:11" ht="22" customHeight="1">
      <c r="A10" s="83">
        <v>5</v>
      </c>
      <c r="B10" s="83" t="s">
        <v>136</v>
      </c>
      <c r="C10" s="84" t="str">
        <f>VLOOKUP(B10,Calculations!$A$5:$AM$10,2,FALSE)</f>
        <v>IRFI9630GPBF</v>
      </c>
      <c r="D10" s="84" t="str">
        <f>VLOOKUP(B10,Calculations!$A$5:$AM$10,3,FALSE)</f>
        <v>IRFI630GPBF</v>
      </c>
      <c r="E10" s="85">
        <f>VLOOKUP(B10,Calculations!$A$5:$AM$10,28,FALSE)</f>
        <v>0.8228591954022989</v>
      </c>
      <c r="F10" s="85">
        <f>VLOOKUP(B10,Calculations!$A$5:$AM$10,29,FALSE)</f>
        <v>0.62299714956628172</v>
      </c>
      <c r="G10" s="85">
        <f>VLOOKUP(B10,Calculations!$A$5:$AM$10,34,FALSE)</f>
        <v>0.14285714285714279</v>
      </c>
      <c r="H10" s="85">
        <f>VLOOKUP(B10,Calculations!$A$5:$AM$10,35,FALSE)</f>
        <v>0.81148887765419608</v>
      </c>
      <c r="I10" s="85">
        <f>VLOOKUP(B10,Calculations!$A$5:$AM$10,36,FALSE)</f>
        <v>0.66069549518386461</v>
      </c>
      <c r="J10" s="83" t="str">
        <f>VLOOKUP(B10,Calculations!$A$5:$AM$10,5,FALSE)</f>
        <v>NOT TESTED</v>
      </c>
      <c r="K10" s="83" t="str">
        <f>VLOOKUP(B10,Calculations!$A$5:$AM$10,39,FALSE)</f>
        <v>WAITING VALIDATION</v>
      </c>
    </row>
    <row r="11" spans="1:11" ht="22" customHeight="1">
      <c r="A11" s="83">
        <v>6</v>
      </c>
      <c r="B11" s="83" t="s">
        <v>138</v>
      </c>
      <c r="C11" s="84" t="str">
        <f>VLOOKUP(B11,Calculations!$A$5:$AM$10,2,FALSE)</f>
        <v>FQP3P20</v>
      </c>
      <c r="D11" s="84" t="str">
        <f>VLOOKUP(B11,Calculations!$A$5:$AM$10,3,FALSE)</f>
        <v>FQP3N30</v>
      </c>
      <c r="E11" s="85">
        <f>VLOOKUP(B11,Calculations!$A$5:$AM$10,28,FALSE)</f>
        <v>0.9900000000000001</v>
      </c>
      <c r="F11" s="85">
        <f>VLOOKUP(B11,Calculations!$A$5:$AM$10,29,FALSE)</f>
        <v>0.98583333333333323</v>
      </c>
      <c r="G11" s="85">
        <f>VLOOKUP(B11,Calculations!$A$5:$AM$10,34,FALSE)</f>
        <v>8.5714285714285618E-2</v>
      </c>
      <c r="H11" s="85">
        <f>VLOOKUP(B11,Calculations!$A$5:$AM$10,35,FALSE)</f>
        <v>0.9115471869328492</v>
      </c>
      <c r="I11" s="85">
        <f>VLOOKUP(B11,Calculations!$A$5:$AM$10,36,FALSE)</f>
        <v>0.97097610405323653</v>
      </c>
      <c r="J11" s="83" t="str">
        <f>VLOOKUP(B11,Calculations!$A$5:$AM$10,5,FALSE)</f>
        <v>TESTED</v>
      </c>
      <c r="K11" s="83" t="str">
        <f>VLOOKUP(B11,Calculations!$A$5:$AM$10,39,FALSE)</f>
        <v>NOT VALIDATED</v>
      </c>
    </row>
    <row r="12" spans="1:11" ht="44" customHeight="1">
      <c r="A12" s="109" t="s">
        <v>375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</row>
  </sheetData>
  <mergeCells count="6">
    <mergeCell ref="A12:K12"/>
    <mergeCell ref="A2:B2"/>
    <mergeCell ref="C2:D2"/>
    <mergeCell ref="E2:F2"/>
    <mergeCell ref="A1:K1"/>
    <mergeCell ref="A3:K3"/>
  </mergeCells>
  <conditionalFormatting sqref="E6:E11">
    <cfRule type="dataBar" priority="1">
      <dataBar>
        <cfvo type="num" val="0"/>
        <cfvo type="num" val="1"/>
        <color rgb="FFB34BA5"/>
      </dataBar>
    </cfRule>
    <cfRule type="dataBar" priority="5">
      <dataBar>
        <cfvo type="num" val="0"/>
        <cfvo type="num" val="1"/>
        <color rgb="FFB34BA5"/>
      </dataBar>
      <extLst>
        <ext xmlns:x14="http://schemas.microsoft.com/office/spreadsheetml/2009/9/main" uri="{B025F937-C7B1-47D3-B67F-A62EFF666E3E}">
          <x14:id>{8213237C-262D-8CED-9257-E0A72B4BD1FC}</x14:id>
        </ext>
      </extLst>
    </cfRule>
  </conditionalFormatting>
  <conditionalFormatting sqref="F6:F11">
    <cfRule type="dataBar" priority="2">
      <dataBar>
        <cfvo type="num" val="0"/>
        <cfvo type="num" val="1"/>
        <color rgb="FF19A9D6"/>
      </dataBar>
    </cfRule>
    <cfRule type="dataBar" priority="6">
      <dataBar>
        <cfvo type="num" val="0"/>
        <cfvo type="num" val="1"/>
        <color rgb="FF19A9D6"/>
      </dataBar>
      <extLst>
        <ext xmlns:x14="http://schemas.microsoft.com/office/spreadsheetml/2009/9/main" uri="{B025F937-C7B1-47D3-B67F-A62EFF666E3E}">
          <x14:id>{74327466-E964-C229-8BA0-2CF9360A3A34}</x14:id>
        </ext>
      </extLst>
    </cfRule>
  </conditionalFormatting>
  <conditionalFormatting sqref="G6:G11">
    <cfRule type="dataBar" priority="3">
      <dataBar>
        <cfvo type="num" val="0"/>
        <cfvo type="num" val="1"/>
        <color rgb="FFE5A23C"/>
      </dataBar>
    </cfRule>
    <cfRule type="dataBar" priority="7">
      <dataBar>
        <cfvo type="num" val="0"/>
        <cfvo type="num" val="1"/>
        <color rgb="FFE5A23C"/>
      </dataBar>
      <extLst>
        <ext xmlns:x14="http://schemas.microsoft.com/office/spreadsheetml/2009/9/main" uri="{B025F937-C7B1-47D3-B67F-A62EFF666E3E}">
          <x14:id>{E78DF008-D979-5BC5-01E0-E443AFA13523}</x14:id>
        </ext>
      </extLst>
    </cfRule>
  </conditionalFormatting>
  <conditionalFormatting sqref="I6:I11">
    <cfRule type="dataBar" priority="4">
      <dataBar>
        <cfvo type="num" val="0"/>
        <cfvo type="num" val="1"/>
        <color rgb="FF78A84B"/>
      </dataBar>
    </cfRule>
    <cfRule type="dataBar" priority="8">
      <dataBar>
        <cfvo type="num" val="0"/>
        <cfvo type="num" val="1"/>
        <color rgb="FF78A84B"/>
      </dataBar>
      <extLst>
        <ext xmlns:x14="http://schemas.microsoft.com/office/spreadsheetml/2009/9/main" uri="{B025F937-C7B1-47D3-B67F-A62EFF666E3E}">
          <x14:id>{84522F0C-32F8-CC7A-A8AB-AA2BB1E16CB6}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13237C-262D-8CED-9257-E0A72B4BD1FC}">
            <x14:dataBar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E6:E11</xm:sqref>
        </x14:conditionalFormatting>
        <x14:conditionalFormatting xmlns:xm="http://schemas.microsoft.com/office/excel/2006/main">
          <x14:cfRule type="dataBar" id="{74327466-E964-C229-8BA0-2CF9360A3A34}">
            <x14:dataBar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F6:F11</xm:sqref>
        </x14:conditionalFormatting>
        <x14:conditionalFormatting xmlns:xm="http://schemas.microsoft.com/office/excel/2006/main">
          <x14:cfRule type="dataBar" id="{E78DF008-D979-5BC5-01E0-E443AFA13523}">
            <x14:dataBar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G6:G11</xm:sqref>
        </x14:conditionalFormatting>
        <x14:conditionalFormatting xmlns:xm="http://schemas.microsoft.com/office/excel/2006/main">
          <x14:cfRule type="dataBar" id="{84522F0C-32F8-CC7A-A8AB-AA2BB1E16CB6}">
            <x14:dataBar>
              <x14:cfvo type="num">
                <xm:f>0</xm:f>
              </x14:cfvo>
              <x14:cfvo type="num">
                <xm:f>1</xm:f>
              </x14:cfvo>
              <x14:negativeFillColor auto="1"/>
              <x14:axisColor auto="1"/>
            </x14:dataBar>
          </x14:cfRule>
          <xm:sqref>I6:I11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Config</vt:lpstr>
      <vt:lpstr>Selection</vt:lpstr>
      <vt:lpstr>Calculations</vt:lpstr>
      <vt:lpstr>MOSFET</vt:lpstr>
      <vt:lpstr>Validation</vt:lpstr>
      <vt:lpstr>Notes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Microsoft Office</cp:lastModifiedBy>
  <dcterms:modified xsi:type="dcterms:W3CDTF">2026-10-09T11:37:48Z</dcterms:modified>
</cp:coreProperties>
</file>